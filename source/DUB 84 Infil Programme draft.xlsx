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jkengineering-my.sharepoint.com/personal/anthony_murphy_cjkeng_ie/Documents/Desktop/infill/"/>
    </mc:Choice>
  </mc:AlternateContent>
  <xr:revisionPtr revIDLastSave="77" documentId="8_{9D612787-E23D-4E22-B7B2-1C54C792D105}" xr6:coauthVersionLast="47" xr6:coauthVersionMax="47" xr10:uidLastSave="{FB2E11CC-6C7B-4EA0-A1FA-C4A48F6FAC62}"/>
  <bookViews>
    <workbookView xWindow="-108" yWindow="-108" windowWidth="23256" windowHeight="12456" xr2:uid="{D17CBF07-82CC-4621-A2BE-C7E97429FC7D}"/>
  </bookViews>
  <sheets>
    <sheet name="Sheet1" sheetId="1" r:id="rId1"/>
    <sheet name="Manloader" sheetId="4" r:id="rId2"/>
  </sheets>
  <definedNames>
    <definedName name="finishdate">Sheet1!$G$2</definedName>
    <definedName name="Startdate">Sheet1!$F$2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4" l="1"/>
  <c r="F11" i="1"/>
  <c r="F12" i="1" s="1"/>
  <c r="F28" i="1"/>
  <c r="F29" i="1" s="1"/>
  <c r="F10" i="1"/>
  <c r="G10" i="1" s="1"/>
  <c r="J55" i="1"/>
  <c r="J54" i="1"/>
  <c r="J53" i="1"/>
  <c r="J52" i="1"/>
  <c r="J51" i="1"/>
  <c r="J50" i="1"/>
  <c r="J49" i="1"/>
  <c r="J48" i="1"/>
  <c r="J47" i="1"/>
  <c r="J46" i="1"/>
  <c r="J45" i="1"/>
  <c r="J44" i="1"/>
  <c r="A2" i="4"/>
  <c r="A3" i="4" s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F9" i="1"/>
  <c r="G4" i="1"/>
  <c r="G5" i="1"/>
  <c r="G6" i="1"/>
  <c r="G3" i="1"/>
  <c r="F18" i="1" l="1"/>
  <c r="F19" i="1"/>
  <c r="F17" i="1"/>
  <c r="G17" i="1" s="1"/>
  <c r="F16" i="1"/>
  <c r="F14" i="1"/>
  <c r="F13" i="1"/>
  <c r="F31" i="1"/>
  <c r="F84" i="1" s="1"/>
  <c r="F30" i="1"/>
  <c r="G9" i="1"/>
  <c r="F44" i="1"/>
  <c r="F193" i="1" s="1"/>
  <c r="F57" i="1"/>
  <c r="G18" i="1" l="1"/>
  <c r="G19" i="1"/>
  <c r="F194" i="1"/>
  <c r="F195" i="1" s="1"/>
  <c r="G195" i="1" s="1"/>
  <c r="F196" i="1" s="1"/>
  <c r="G196" i="1" s="1"/>
  <c r="F197" i="1" s="1"/>
  <c r="F58" i="1"/>
  <c r="F59" i="1" s="1"/>
  <c r="F22" i="1"/>
  <c r="F45" i="1"/>
  <c r="F202" i="1" s="1"/>
  <c r="F66" i="1"/>
  <c r="F67" i="1" s="1"/>
  <c r="G194" i="1" l="1"/>
  <c r="F203" i="1"/>
  <c r="G197" i="1"/>
  <c r="F198" i="1"/>
  <c r="G198" i="1" s="1"/>
  <c r="F199" i="1" s="1"/>
  <c r="F68" i="1"/>
  <c r="G68" i="1" s="1"/>
  <c r="F69" i="1" s="1"/>
  <c r="G69" i="1" s="1"/>
  <c r="G67" i="1"/>
  <c r="G199" i="1" l="1"/>
  <c r="F201" i="1" s="1"/>
  <c r="G201" i="1" s="1"/>
  <c r="G193" i="1" s="1"/>
  <c r="F200" i="1"/>
  <c r="G200" i="1" s="1"/>
  <c r="F206" i="1"/>
  <c r="G203" i="1"/>
  <c r="F204" i="1"/>
  <c r="G204" i="1" s="1"/>
  <c r="F205" i="1" s="1"/>
  <c r="G205" i="1" s="1"/>
  <c r="F207" i="1" l="1"/>
  <c r="G207" i="1" s="1"/>
  <c r="F208" i="1" s="1"/>
  <c r="G206" i="1"/>
  <c r="G58" i="1"/>
  <c r="G59" i="1"/>
  <c r="F60" i="1" s="1"/>
  <c r="G16" i="1"/>
  <c r="G208" i="1" l="1"/>
  <c r="F210" i="1" s="1"/>
  <c r="G210" i="1" s="1"/>
  <c r="G202" i="1" s="1"/>
  <c r="F209" i="1"/>
  <c r="G209" i="1" s="1"/>
  <c r="G60" i="1"/>
  <c r="F61" i="1" l="1"/>
  <c r="F62" i="1" s="1"/>
  <c r="G62" i="1" s="1"/>
  <c r="F63" i="1" l="1"/>
  <c r="G61" i="1"/>
  <c r="G63" i="1" l="1"/>
  <c r="F65" i="1" s="1"/>
  <c r="F70" i="1"/>
  <c r="F71" i="1" s="1"/>
  <c r="G71" i="1" s="1"/>
  <c r="F72" i="1" s="1"/>
  <c r="F64" i="1"/>
  <c r="G64" i="1" s="1"/>
  <c r="G70" i="1" l="1"/>
  <c r="F73" i="1"/>
  <c r="G73" i="1" s="1"/>
  <c r="G72" i="1"/>
  <c r="F74" i="1" s="1"/>
  <c r="G74" i="1" s="1"/>
  <c r="G66" i="1" s="1"/>
  <c r="E66" i="1" s="1"/>
  <c r="G65" i="1"/>
  <c r="G57" i="1" s="1"/>
  <c r="E57" i="1" s="1"/>
  <c r="G29" i="1" l="1"/>
  <c r="G28" i="1"/>
  <c r="E28" i="1" s="1"/>
  <c r="G45" i="1" l="1"/>
  <c r="E45" i="1" s="1"/>
  <c r="E29" i="1"/>
  <c r="G44" i="1"/>
  <c r="E44" i="1" s="1"/>
  <c r="G8" i="1" l="1"/>
  <c r="F46" i="1" l="1"/>
  <c r="F75" i="1"/>
  <c r="F76" i="1" s="1"/>
  <c r="F211" i="1" l="1"/>
  <c r="G76" i="1"/>
  <c r="F77" i="1"/>
  <c r="G77" i="1" s="1"/>
  <c r="F78" i="1" s="1"/>
  <c r="G78" i="1" s="1"/>
  <c r="F79" i="1" s="1"/>
  <c r="F85" i="1"/>
  <c r="F47" i="1"/>
  <c r="F220" i="1" s="1"/>
  <c r="F212" i="1" l="1"/>
  <c r="F213" i="1" s="1"/>
  <c r="G213" i="1" s="1"/>
  <c r="F214" i="1" s="1"/>
  <c r="G214" i="1" s="1"/>
  <c r="F215" i="1" s="1"/>
  <c r="F221" i="1"/>
  <c r="F86" i="1"/>
  <c r="G86" i="1" s="1"/>
  <c r="F87" i="1" s="1"/>
  <c r="G87" i="1" s="1"/>
  <c r="G85" i="1"/>
  <c r="G79" i="1"/>
  <c r="F80" i="1"/>
  <c r="G80" i="1" s="1"/>
  <c r="F81" i="1" s="1"/>
  <c r="F88" i="1" s="1"/>
  <c r="G212" i="1" l="1"/>
  <c r="G221" i="1"/>
  <c r="F222" i="1"/>
  <c r="G222" i="1" s="1"/>
  <c r="F223" i="1" s="1"/>
  <c r="G223" i="1" s="1"/>
  <c r="G215" i="1"/>
  <c r="F216" i="1"/>
  <c r="G216" i="1" s="1"/>
  <c r="F217" i="1" s="1"/>
  <c r="F89" i="1"/>
  <c r="G89" i="1" s="1"/>
  <c r="F90" i="1" s="1"/>
  <c r="G88" i="1"/>
  <c r="F82" i="1"/>
  <c r="G82" i="1" s="1"/>
  <c r="G81" i="1"/>
  <c r="F83" i="1" s="1"/>
  <c r="G83" i="1" l="1"/>
  <c r="G75" i="1" s="1"/>
  <c r="G217" i="1"/>
  <c r="F219" i="1" s="1"/>
  <c r="G219" i="1" s="1"/>
  <c r="G211" i="1" s="1"/>
  <c r="F218" i="1"/>
  <c r="G218" i="1" s="1"/>
  <c r="F224" i="1"/>
  <c r="F91" i="1"/>
  <c r="G91" i="1" s="1"/>
  <c r="G90" i="1"/>
  <c r="F92" i="1" s="1"/>
  <c r="G92" i="1" s="1"/>
  <c r="G30" i="1" l="1"/>
  <c r="E75" i="1"/>
  <c r="G224" i="1"/>
  <c r="F225" i="1"/>
  <c r="G225" i="1" s="1"/>
  <c r="F226" i="1" s="1"/>
  <c r="G84" i="1"/>
  <c r="G22" i="1" s="1"/>
  <c r="G46" i="1" l="1"/>
  <c r="E46" i="1" s="1"/>
  <c r="E30" i="1"/>
  <c r="G31" i="1"/>
  <c r="F32" i="1" s="1"/>
  <c r="E84" i="1"/>
  <c r="F227" i="1"/>
  <c r="G227" i="1" s="1"/>
  <c r="G226" i="1"/>
  <c r="F228" i="1" s="1"/>
  <c r="G228" i="1" s="1"/>
  <c r="G220" i="1" s="1"/>
  <c r="F34" i="1" l="1"/>
  <c r="F35" i="1"/>
  <c r="F93" i="1"/>
  <c r="F23" i="1" s="1"/>
  <c r="F33" i="1"/>
  <c r="G47" i="1"/>
  <c r="E47" i="1" s="1"/>
  <c r="E31" i="1"/>
  <c r="F48" i="1"/>
  <c r="F94" i="1" l="1"/>
  <c r="F95" i="1" s="1"/>
  <c r="G95" i="1" s="1"/>
  <c r="F96" i="1" s="1"/>
  <c r="G96" i="1" s="1"/>
  <c r="F97" i="1" s="1"/>
  <c r="F98" i="1" s="1"/>
  <c r="G98" i="1" s="1"/>
  <c r="F99" i="1" s="1"/>
  <c r="F106" i="1" s="1"/>
  <c r="F107" i="1" s="1"/>
  <c r="G107" i="1" s="1"/>
  <c r="F108" i="1" s="1"/>
  <c r="F229" i="1"/>
  <c r="G94" i="1" l="1"/>
  <c r="G99" i="1"/>
  <c r="F101" i="1" s="1"/>
  <c r="G101" i="1" s="1"/>
  <c r="G93" i="1" s="1"/>
  <c r="G32" i="1" s="1"/>
  <c r="F100" i="1"/>
  <c r="G100" i="1" s="1"/>
  <c r="G106" i="1"/>
  <c r="G97" i="1"/>
  <c r="F230" i="1"/>
  <c r="G230" i="1" s="1"/>
  <c r="F109" i="1"/>
  <c r="G109" i="1" s="1"/>
  <c r="G108" i="1"/>
  <c r="F110" i="1" s="1"/>
  <c r="G110" i="1" s="1"/>
  <c r="E93" i="1" l="1"/>
  <c r="F102" i="1"/>
  <c r="F103" i="1" s="1"/>
  <c r="F49" i="1"/>
  <c r="F238" i="1" s="1"/>
  <c r="F239" i="1" s="1"/>
  <c r="G48" i="1"/>
  <c r="E48" i="1" s="1"/>
  <c r="E32" i="1"/>
  <c r="F231" i="1"/>
  <c r="G231" i="1" s="1"/>
  <c r="F232" i="1" s="1"/>
  <c r="G232" i="1" s="1"/>
  <c r="F233" i="1" s="1"/>
  <c r="F234" i="1" s="1"/>
  <c r="G234" i="1" s="1"/>
  <c r="F235" i="1" s="1"/>
  <c r="G102" i="1"/>
  <c r="F240" i="1" l="1"/>
  <c r="G240" i="1" s="1"/>
  <c r="F241" i="1" s="1"/>
  <c r="G241" i="1" s="1"/>
  <c r="G239" i="1"/>
  <c r="F104" i="1"/>
  <c r="G104" i="1" s="1"/>
  <c r="F105" i="1" s="1"/>
  <c r="G105" i="1" s="1"/>
  <c r="G103" i="1"/>
  <c r="G33" i="1"/>
  <c r="F111" i="1" s="1"/>
  <c r="F112" i="1" s="1"/>
  <c r="F113" i="1" s="1"/>
  <c r="G113" i="1" s="1"/>
  <c r="F114" i="1" s="1"/>
  <c r="G114" i="1" s="1"/>
  <c r="F115" i="1" s="1"/>
  <c r="E102" i="1"/>
  <c r="G233" i="1"/>
  <c r="G235" i="1"/>
  <c r="F237" i="1" s="1"/>
  <c r="G237" i="1" s="1"/>
  <c r="G229" i="1" s="1"/>
  <c r="F236" i="1"/>
  <c r="G236" i="1" s="1"/>
  <c r="F242" i="1"/>
  <c r="G49" i="1" l="1"/>
  <c r="E49" i="1" s="1"/>
  <c r="E33" i="1"/>
  <c r="G112" i="1"/>
  <c r="G242" i="1"/>
  <c r="F243" i="1"/>
  <c r="G243" i="1" s="1"/>
  <c r="F244" i="1" s="1"/>
  <c r="F116" i="1"/>
  <c r="G116" i="1" s="1"/>
  <c r="F117" i="1" s="1"/>
  <c r="F124" i="1" s="1"/>
  <c r="G115" i="1"/>
  <c r="F50" i="1"/>
  <c r="F247" i="1" l="1"/>
  <c r="G247" i="1" s="1"/>
  <c r="F245" i="1"/>
  <c r="G245" i="1" s="1"/>
  <c r="G244" i="1"/>
  <c r="F246" i="1" s="1"/>
  <c r="G246" i="1" s="1"/>
  <c r="G238" i="1" s="1"/>
  <c r="F125" i="1"/>
  <c r="G125" i="1" s="1"/>
  <c r="F126" i="1" s="1"/>
  <c r="G124" i="1"/>
  <c r="F118" i="1"/>
  <c r="G118" i="1" s="1"/>
  <c r="G117" i="1"/>
  <c r="F119" i="1" s="1"/>
  <c r="G119" i="1" s="1"/>
  <c r="G111" i="1" s="1"/>
  <c r="G34" i="1" l="1"/>
  <c r="E111" i="1"/>
  <c r="F248" i="1"/>
  <c r="G248" i="1" s="1"/>
  <c r="F127" i="1"/>
  <c r="G127" i="1" s="1"/>
  <c r="G126" i="1"/>
  <c r="F128" i="1" s="1"/>
  <c r="F120" i="1" l="1"/>
  <c r="F121" i="1" s="1"/>
  <c r="F51" i="1"/>
  <c r="F256" i="1" s="1"/>
  <c r="F257" i="1" s="1"/>
  <c r="G50" i="1"/>
  <c r="E50" i="1" s="1"/>
  <c r="E34" i="1"/>
  <c r="F249" i="1"/>
  <c r="G249" i="1" s="1"/>
  <c r="F250" i="1" s="1"/>
  <c r="G250" i="1" s="1"/>
  <c r="F251" i="1" s="1"/>
  <c r="F252" i="1" s="1"/>
  <c r="G252" i="1" s="1"/>
  <c r="F253" i="1" s="1"/>
  <c r="G121" i="1" l="1"/>
  <c r="F122" i="1"/>
  <c r="G122" i="1" s="1"/>
  <c r="F123" i="1" s="1"/>
  <c r="G123" i="1" s="1"/>
  <c r="F258" i="1"/>
  <c r="G258" i="1" s="1"/>
  <c r="F259" i="1" s="1"/>
  <c r="G259" i="1" s="1"/>
  <c r="G257" i="1"/>
  <c r="G251" i="1"/>
  <c r="G253" i="1"/>
  <c r="F255" i="1" s="1"/>
  <c r="G255" i="1" s="1"/>
  <c r="F254" i="1"/>
  <c r="G254" i="1" s="1"/>
  <c r="F260" i="1"/>
  <c r="G260" i="1" l="1"/>
  <c r="F261" i="1"/>
  <c r="G261" i="1" s="1"/>
  <c r="F262" i="1" s="1"/>
  <c r="F263" i="1" l="1"/>
  <c r="G263" i="1" s="1"/>
  <c r="G262" i="1"/>
  <c r="F264" i="1" s="1"/>
  <c r="G264" i="1" s="1"/>
  <c r="G256" i="1" s="1"/>
  <c r="G128" i="1" l="1"/>
  <c r="G120" i="1" s="1"/>
  <c r="G23" i="1" s="1"/>
  <c r="E120" i="1" l="1"/>
  <c r="G35" i="1"/>
  <c r="F36" i="1" s="1"/>
  <c r="F38" i="1" l="1"/>
  <c r="F147" i="1" s="1"/>
  <c r="F148" i="1" s="1"/>
  <c r="F37" i="1"/>
  <c r="F138" i="1" s="1"/>
  <c r="F139" i="1" s="1"/>
  <c r="F39" i="1"/>
  <c r="F129" i="1"/>
  <c r="F52" i="1"/>
  <c r="F265" i="1" s="1"/>
  <c r="E35" i="1"/>
  <c r="G51" i="1"/>
  <c r="F53" i="1" l="1"/>
  <c r="F274" i="1" s="1"/>
  <c r="F275" i="1" s="1"/>
  <c r="F276" i="1" s="1"/>
  <c r="G276" i="1" s="1"/>
  <c r="F277" i="1" s="1"/>
  <c r="G277" i="1" s="1"/>
  <c r="F54" i="1"/>
  <c r="F283" i="1" s="1"/>
  <c r="F284" i="1" s="1"/>
  <c r="F156" i="1"/>
  <c r="F157" i="1" s="1"/>
  <c r="F55" i="1"/>
  <c r="F292" i="1" s="1"/>
  <c r="F293" i="1" s="1"/>
  <c r="G148" i="1"/>
  <c r="F149" i="1"/>
  <c r="G149" i="1" s="1"/>
  <c r="F150" i="1" s="1"/>
  <c r="G150" i="1" s="1"/>
  <c r="F151" i="1" s="1"/>
  <c r="F140" i="1"/>
  <c r="G140" i="1" s="1"/>
  <c r="F141" i="1" s="1"/>
  <c r="G141" i="1" s="1"/>
  <c r="G139" i="1"/>
  <c r="G265" i="1"/>
  <c r="F266" i="1"/>
  <c r="F24" i="1"/>
  <c r="F130" i="1"/>
  <c r="E51" i="1"/>
  <c r="G275" i="1" l="1"/>
  <c r="G283" i="1"/>
  <c r="G293" i="1"/>
  <c r="F294" i="1"/>
  <c r="G294" i="1" s="1"/>
  <c r="F295" i="1" s="1"/>
  <c r="G295" i="1" s="1"/>
  <c r="G157" i="1"/>
  <c r="F158" i="1"/>
  <c r="G158" i="1" s="1"/>
  <c r="F159" i="1" s="1"/>
  <c r="G159" i="1" s="1"/>
  <c r="F152" i="1"/>
  <c r="G152" i="1" s="1"/>
  <c r="F153" i="1" s="1"/>
  <c r="G151" i="1"/>
  <c r="G284" i="1"/>
  <c r="F285" i="1"/>
  <c r="G285" i="1" s="1"/>
  <c r="F286" i="1" s="1"/>
  <c r="G286" i="1" s="1"/>
  <c r="F287" i="1" s="1"/>
  <c r="F131" i="1"/>
  <c r="G130" i="1"/>
  <c r="G266" i="1"/>
  <c r="F267" i="1"/>
  <c r="G267" i="1" s="1"/>
  <c r="F268" i="1" s="1"/>
  <c r="G268" i="1" s="1"/>
  <c r="F269" i="1" s="1"/>
  <c r="F288" i="1" l="1"/>
  <c r="G288" i="1" s="1"/>
  <c r="F289" i="1" s="1"/>
  <c r="G287" i="1"/>
  <c r="F160" i="1"/>
  <c r="F154" i="1"/>
  <c r="G154" i="1" s="1"/>
  <c r="G153" i="1"/>
  <c r="F155" i="1" s="1"/>
  <c r="G155" i="1" s="1"/>
  <c r="G147" i="1" s="1"/>
  <c r="G269" i="1"/>
  <c r="F270" i="1"/>
  <c r="G270" i="1" s="1"/>
  <c r="F271" i="1" s="1"/>
  <c r="G131" i="1"/>
  <c r="F132" i="1" s="1"/>
  <c r="E147" i="1" l="1"/>
  <c r="G38" i="1"/>
  <c r="G160" i="1"/>
  <c r="F161" i="1"/>
  <c r="G161" i="1" s="1"/>
  <c r="F162" i="1" s="1"/>
  <c r="F290" i="1"/>
  <c r="G290" i="1" s="1"/>
  <c r="G289" i="1"/>
  <c r="F291" i="1" s="1"/>
  <c r="G291" i="1" s="1"/>
  <c r="F296" i="1"/>
  <c r="G132" i="1"/>
  <c r="F133" i="1" s="1"/>
  <c r="G271" i="1"/>
  <c r="F273" i="1" s="1"/>
  <c r="G273" i="1" s="1"/>
  <c r="F272" i="1"/>
  <c r="G272" i="1" s="1"/>
  <c r="F278" i="1"/>
  <c r="F297" i="1" l="1"/>
  <c r="G297" i="1" s="1"/>
  <c r="F298" i="1" s="1"/>
  <c r="G296" i="1"/>
  <c r="G162" i="1"/>
  <c r="F164" i="1" s="1"/>
  <c r="G164" i="1" s="1"/>
  <c r="G156" i="1" s="1"/>
  <c r="F163" i="1"/>
  <c r="G163" i="1" s="1"/>
  <c r="G54" i="1"/>
  <c r="E54" i="1" s="1"/>
  <c r="E38" i="1"/>
  <c r="F279" i="1"/>
  <c r="G279" i="1" s="1"/>
  <c r="F280" i="1" s="1"/>
  <c r="G278" i="1"/>
  <c r="F134" i="1"/>
  <c r="G133" i="1"/>
  <c r="G24" i="1" l="1"/>
  <c r="G39" i="1"/>
  <c r="F40" i="1" s="1"/>
  <c r="F42" i="1" s="1"/>
  <c r="F183" i="1" s="1"/>
  <c r="F184" i="1" s="1"/>
  <c r="E156" i="1"/>
  <c r="G298" i="1"/>
  <c r="F300" i="1" s="1"/>
  <c r="G300" i="1" s="1"/>
  <c r="G292" i="1" s="1"/>
  <c r="F299" i="1"/>
  <c r="G299" i="1" s="1"/>
  <c r="G134" i="1"/>
  <c r="F135" i="1" s="1"/>
  <c r="G280" i="1"/>
  <c r="F282" i="1" s="1"/>
  <c r="G282" i="1" s="1"/>
  <c r="G274" i="1" s="1"/>
  <c r="F281" i="1"/>
  <c r="G281" i="1" s="1"/>
  <c r="F185" i="1" l="1"/>
  <c r="G185" i="1" s="1"/>
  <c r="F186" i="1" s="1"/>
  <c r="G186" i="1" s="1"/>
  <c r="F187" i="1" s="1"/>
  <c r="G184" i="1"/>
  <c r="F165" i="1"/>
  <c r="F25" i="1" s="1"/>
  <c r="F41" i="1"/>
  <c r="F174" i="1" s="1"/>
  <c r="F175" i="1" s="1"/>
  <c r="G55" i="1"/>
  <c r="E55" i="1" s="1"/>
  <c r="E39" i="1"/>
  <c r="F142" i="1"/>
  <c r="F136" i="1"/>
  <c r="G135" i="1"/>
  <c r="F137" i="1" s="1"/>
  <c r="G137" i="1" s="1"/>
  <c r="G129" i="1" s="1"/>
  <c r="F166" i="1" l="1"/>
  <c r="F167" i="1" s="1"/>
  <c r="G167" i="1" s="1"/>
  <c r="F168" i="1" s="1"/>
  <c r="G168" i="1" s="1"/>
  <c r="F169" i="1" s="1"/>
  <c r="F188" i="1"/>
  <c r="G188" i="1" s="1"/>
  <c r="F189" i="1" s="1"/>
  <c r="G187" i="1"/>
  <c r="F176" i="1"/>
  <c r="G176" i="1" s="1"/>
  <c r="F177" i="1" s="1"/>
  <c r="G177" i="1" s="1"/>
  <c r="G175" i="1"/>
  <c r="G166" i="1"/>
  <c r="E129" i="1"/>
  <c r="G36" i="1"/>
  <c r="G136" i="1"/>
  <c r="G142" i="1"/>
  <c r="F143" i="1"/>
  <c r="G189" i="1" l="1"/>
  <c r="F191" i="1" s="1"/>
  <c r="G191" i="1" s="1"/>
  <c r="G183" i="1" s="1"/>
  <c r="F190" i="1"/>
  <c r="G190" i="1" s="1"/>
  <c r="F170" i="1"/>
  <c r="G170" i="1" s="1"/>
  <c r="F171" i="1" s="1"/>
  <c r="G169" i="1"/>
  <c r="G143" i="1"/>
  <c r="F144" i="1" s="1"/>
  <c r="G52" i="1"/>
  <c r="E52" i="1" s="1"/>
  <c r="E36" i="1"/>
  <c r="G25" i="1" l="1"/>
  <c r="G42" i="1"/>
  <c r="E42" i="1" s="1"/>
  <c r="E183" i="1"/>
  <c r="F178" i="1"/>
  <c r="F172" i="1"/>
  <c r="G172" i="1" s="1"/>
  <c r="G171" i="1"/>
  <c r="F173" i="1" s="1"/>
  <c r="G173" i="1" s="1"/>
  <c r="G165" i="1" s="1"/>
  <c r="F145" i="1"/>
  <c r="G144" i="1"/>
  <c r="F146" i="1" s="1"/>
  <c r="G40" i="1" l="1"/>
  <c r="E40" i="1" s="1"/>
  <c r="E165" i="1"/>
  <c r="F179" i="1"/>
  <c r="G178" i="1"/>
  <c r="G146" i="1"/>
  <c r="G138" i="1" s="1"/>
  <c r="G145" i="1"/>
  <c r="G179" i="1" l="1"/>
  <c r="F180" i="1" s="1"/>
  <c r="G37" i="1"/>
  <c r="E138" i="1"/>
  <c r="F181" i="1" l="1"/>
  <c r="G180" i="1"/>
  <c r="F182" i="1" s="1"/>
  <c r="G182" i="1" s="1"/>
  <c r="G174" i="1" s="1"/>
  <c r="B16" i="4"/>
  <c r="D16" i="4" s="1"/>
  <c r="B4" i="4"/>
  <c r="D4" i="4" s="1"/>
  <c r="B31" i="4"/>
  <c r="D31" i="4" s="1"/>
  <c r="B2" i="4"/>
  <c r="D2" i="4" s="1"/>
  <c r="B14" i="4"/>
  <c r="D14" i="4" s="1"/>
  <c r="B20" i="4"/>
  <c r="D20" i="4" s="1"/>
  <c r="B24" i="4"/>
  <c r="D24" i="4" s="1"/>
  <c r="B27" i="4"/>
  <c r="D27" i="4" s="1"/>
  <c r="B17" i="4"/>
  <c r="D17" i="4" s="1"/>
  <c r="G53" i="1"/>
  <c r="E53" i="1" s="1"/>
  <c r="E37" i="1"/>
  <c r="B39" i="4" l="1"/>
  <c r="D39" i="4" s="1"/>
  <c r="B37" i="4"/>
  <c r="D37" i="4" s="1"/>
  <c r="B40" i="4"/>
  <c r="D40" i="4" s="1"/>
  <c r="B35" i="4"/>
  <c r="D35" i="4" s="1"/>
  <c r="B36" i="4"/>
  <c r="D36" i="4" s="1"/>
  <c r="B5" i="4"/>
  <c r="D5" i="4" s="1"/>
  <c r="B8" i="4"/>
  <c r="D8" i="4" s="1"/>
  <c r="B33" i="4"/>
  <c r="D33" i="4" s="1"/>
  <c r="B34" i="4"/>
  <c r="D34" i="4" s="1"/>
  <c r="B9" i="4"/>
  <c r="D9" i="4" s="1"/>
  <c r="B25" i="4"/>
  <c r="D25" i="4" s="1"/>
  <c r="B11" i="4"/>
  <c r="D11" i="4" s="1"/>
  <c r="B32" i="4"/>
  <c r="D32" i="4" s="1"/>
  <c r="B28" i="4"/>
  <c r="D28" i="4" s="1"/>
  <c r="B30" i="4"/>
  <c r="D30" i="4" s="1"/>
  <c r="B38" i="4"/>
  <c r="D38" i="4" s="1"/>
  <c r="B23" i="4"/>
  <c r="D23" i="4" s="1"/>
  <c r="B13" i="4"/>
  <c r="D13" i="4" s="1"/>
  <c r="B3" i="4"/>
  <c r="D3" i="4" s="1"/>
  <c r="B48" i="4"/>
  <c r="D48" i="4" s="1"/>
  <c r="B44" i="4"/>
  <c r="D44" i="4" s="1"/>
  <c r="B46" i="4"/>
  <c r="D46" i="4" s="1"/>
  <c r="G41" i="1"/>
  <c r="B41" i="4" s="1"/>
  <c r="D41" i="4" s="1"/>
  <c r="E174" i="1"/>
  <c r="G181" i="1"/>
  <c r="B52" i="4" s="1"/>
  <c r="D52" i="4" s="1"/>
  <c r="B19" i="4"/>
  <c r="D19" i="4" s="1"/>
  <c r="B18" i="4"/>
  <c r="D18" i="4" s="1"/>
  <c r="B10" i="4"/>
  <c r="D10" i="4" s="1"/>
  <c r="B7" i="4"/>
  <c r="D7" i="4" s="1"/>
  <c r="B12" i="4"/>
  <c r="D12" i="4" s="1"/>
  <c r="B22" i="4"/>
  <c r="D22" i="4" s="1"/>
  <c r="B21" i="4"/>
  <c r="D21" i="4" s="1"/>
  <c r="B29" i="4"/>
  <c r="D29" i="4" s="1"/>
  <c r="B15" i="4"/>
  <c r="D15" i="4" s="1"/>
  <c r="B26" i="4"/>
  <c r="D26" i="4" s="1"/>
  <c r="B6" i="4"/>
  <c r="D6" i="4" s="1"/>
  <c r="B49" i="4" l="1"/>
  <c r="D49" i="4" s="1"/>
  <c r="B43" i="4"/>
  <c r="D43" i="4" s="1"/>
  <c r="B42" i="4"/>
  <c r="D42" i="4" s="1"/>
  <c r="B45" i="4"/>
  <c r="D45" i="4" s="1"/>
  <c r="B54" i="4"/>
  <c r="D54" i="4" s="1"/>
  <c r="B47" i="4"/>
  <c r="D47" i="4" s="1"/>
  <c r="B51" i="4"/>
  <c r="D51" i="4" s="1"/>
  <c r="B50" i="4"/>
  <c r="D50" i="4" s="1"/>
  <c r="B53" i="4"/>
  <c r="D53" i="4" s="1"/>
  <c r="E41" i="1"/>
  <c r="B58" i="4"/>
  <c r="D58" i="4" s="1"/>
  <c r="B60" i="4"/>
  <c r="D60" i="4" s="1"/>
  <c r="B55" i="4"/>
  <c r="D55" i="4" s="1"/>
  <c r="B61" i="4"/>
  <c r="D61" i="4" s="1"/>
  <c r="B57" i="4"/>
  <c r="D57" i="4" s="1"/>
  <c r="B59" i="4"/>
  <c r="D59" i="4" s="1"/>
  <c r="B56" i="4"/>
  <c r="D56" i="4" s="1"/>
</calcChain>
</file>

<file path=xl/sharedStrings.xml><?xml version="1.0" encoding="utf-8"?>
<sst xmlns="http://schemas.openxmlformats.org/spreadsheetml/2006/main" count="321" uniqueCount="111">
  <si>
    <t>SiteFIT - Ensure DH 1-1 support bracket installed prior to cable pull U bracket to be ordered</t>
  </si>
  <si>
    <t xml:space="preserve">Initial Works </t>
  </si>
  <si>
    <t xml:space="preserve">Date </t>
  </si>
  <si>
    <t>Panel 7- 72 No Cables</t>
  </si>
  <si>
    <t>Panel 9- 84 No Cables</t>
  </si>
  <si>
    <t>Panel 15- 64 No Cables</t>
  </si>
  <si>
    <t>Panel 17- 92 No Cables</t>
  </si>
  <si>
    <t>Panel 19- 88 No Cables</t>
  </si>
  <si>
    <t>Panel 21- 80 No Cables</t>
  </si>
  <si>
    <t>Panel 23- 76 No Cables</t>
  </si>
  <si>
    <t>Panel 25- 12 No Cables</t>
  </si>
  <si>
    <t>Panel 27- 76 No Cables</t>
  </si>
  <si>
    <t>Panel 31- 80 No Cables</t>
  </si>
  <si>
    <t>Panel 33- 88 No Cables</t>
  </si>
  <si>
    <t>Panel 39- 76 No Cables</t>
  </si>
  <si>
    <t>Panel 41- 68 No Cables</t>
  </si>
  <si>
    <t>Panel 45- 84 No Cables</t>
  </si>
  <si>
    <t>Panel 47- 76 No Cables</t>
  </si>
  <si>
    <t>Panel 9- 56 No Cables</t>
  </si>
  <si>
    <t>Panel 17- 60 No Cables</t>
  </si>
  <si>
    <t>Panel 21- 60 No Cables</t>
  </si>
  <si>
    <t>Panel 23- 52 No Cables</t>
  </si>
  <si>
    <t>Panel 27- 4 No Cables</t>
  </si>
  <si>
    <t>Panel 31- 56 No Cables</t>
  </si>
  <si>
    <t>Panel 33- 68 No Cables</t>
  </si>
  <si>
    <t>Panel 35- 60 No Cables</t>
  </si>
  <si>
    <t>Panel 39- 64 No Cables</t>
  </si>
  <si>
    <t>Panel 41- 12 No Cables</t>
  </si>
  <si>
    <t>Panel 45- 36 No Cables</t>
  </si>
  <si>
    <t>Panel 47- 24 No Cables</t>
  </si>
  <si>
    <t>DH 1-1</t>
  </si>
  <si>
    <t>DH 2-2</t>
  </si>
  <si>
    <t>Task</t>
  </si>
  <si>
    <t xml:space="preserve">No Of Days </t>
  </si>
  <si>
    <t xml:space="preserve">Start Date </t>
  </si>
  <si>
    <t xml:space="preserve">Finish date </t>
  </si>
  <si>
    <t xml:space="preserve">Bring cables From ER Room to Panel location </t>
  </si>
  <si>
    <t xml:space="preserve">Pull in Primary Circuits </t>
  </si>
  <si>
    <t>Pull in Catcher circuits</t>
  </si>
  <si>
    <t xml:space="preserve">Tie down of catcher circuits </t>
  </si>
  <si>
    <t xml:space="preserve">Tie down of Primary  circuits </t>
  </si>
  <si>
    <t>Testing of Cables</t>
  </si>
  <si>
    <t xml:space="preserve">QC of Aisle </t>
  </si>
  <si>
    <t xml:space="preserve">Upload Fit </t>
  </si>
  <si>
    <t>No of Men</t>
  </si>
  <si>
    <t xml:space="preserve">Dates </t>
  </si>
  <si>
    <t>Cable delivery 1</t>
  </si>
  <si>
    <t>Cable delivery 2</t>
  </si>
  <si>
    <t>Cable delivery 3</t>
  </si>
  <si>
    <t>Cable delivery 4</t>
  </si>
  <si>
    <t>Delivery 1 Reciving of Whip cables transporting to Electrical rooms</t>
  </si>
  <si>
    <t>Delivery 2 Reciving of Whip cables transporting to Electrical rooms</t>
  </si>
  <si>
    <t>Delivery 3 Reciving of Whip cables transporting to Electrical rooms</t>
  </si>
  <si>
    <t>Delivery 4 Reciving of Whip cables transporting to Electrical rooms</t>
  </si>
  <si>
    <t>Delivery 1 Temp. Labeling of Whip cables</t>
  </si>
  <si>
    <t>Delivery 2 Temp. Labeling of Whip cables</t>
  </si>
  <si>
    <t>Delivery 3 Temp. Labeling of Whip cables</t>
  </si>
  <si>
    <t>Delivery 4 Temp. Labeling of Whip cables</t>
  </si>
  <si>
    <t>DH 1_1 - Panel 7</t>
  </si>
  <si>
    <t>DH 1_1 - Panel 9</t>
  </si>
  <si>
    <t>DH 1_1 - Panel 15</t>
  </si>
  <si>
    <t>DH 1_1 - Panel 17</t>
  </si>
  <si>
    <t>DH 1_1 - Panel 19</t>
  </si>
  <si>
    <t>DH 1_1 - Panel 21</t>
  </si>
  <si>
    <t>DH 1_1 - Panel 23</t>
  </si>
  <si>
    <t>DH 1_1 - Panel 25</t>
  </si>
  <si>
    <t>DH 1_1 - Panel 27</t>
  </si>
  <si>
    <t>DH 1_1 - Panel 31</t>
  </si>
  <si>
    <t>DH 1_1 - Panel 33</t>
  </si>
  <si>
    <t>DH 1_1 - Panel 39</t>
  </si>
  <si>
    <t>DH 1_1 - Panel 41</t>
  </si>
  <si>
    <t>DH 1_1 - Panel 45</t>
  </si>
  <si>
    <t>DH 1_1 - Panel 47</t>
  </si>
  <si>
    <t>DH 2_2 - Panel 9</t>
  </si>
  <si>
    <t>DH 2_2 - Panel 17</t>
  </si>
  <si>
    <t>DH 2_2 - Panel 21</t>
  </si>
  <si>
    <t>DH 2_2 - Panel 23</t>
  </si>
  <si>
    <t>DH 2_2 - Panel 27</t>
  </si>
  <si>
    <t>DH 2_2 - Panel 31</t>
  </si>
  <si>
    <t>DH 2_2 - Panel 33</t>
  </si>
  <si>
    <t>DH 2_2 - Panel 35</t>
  </si>
  <si>
    <t>DH 2_2 - Panel 39</t>
  </si>
  <si>
    <t>DH 2_2 - Panel 41</t>
  </si>
  <si>
    <t>DH 2_2 - Panel 45</t>
  </si>
  <si>
    <t>DH 2_2 - Panel 47</t>
  </si>
  <si>
    <t xml:space="preserve">Manufacturing &amp; installation of containment </t>
  </si>
  <si>
    <t>Phases</t>
  </si>
  <si>
    <t>Phase 1</t>
  </si>
  <si>
    <t>Phase 2</t>
  </si>
  <si>
    <t>Phase 3</t>
  </si>
  <si>
    <t>Phase 4</t>
  </si>
  <si>
    <t>WW36</t>
  </si>
  <si>
    <t>WW37</t>
  </si>
  <si>
    <t>WW38</t>
  </si>
  <si>
    <t>WW39</t>
  </si>
  <si>
    <t>WW40</t>
  </si>
  <si>
    <t>WW41</t>
  </si>
  <si>
    <t>WW42</t>
  </si>
  <si>
    <t>WW43</t>
  </si>
  <si>
    <t>WW44</t>
  </si>
  <si>
    <t>WW45</t>
  </si>
  <si>
    <t>WW46</t>
  </si>
  <si>
    <t>WW47</t>
  </si>
  <si>
    <t>WW48</t>
  </si>
  <si>
    <t>WW49</t>
  </si>
  <si>
    <t>WW50</t>
  </si>
  <si>
    <t>Moving of Existing whips</t>
  </si>
  <si>
    <t>No Of Men Required</t>
  </si>
  <si>
    <t>Acctual No Of Men</t>
  </si>
  <si>
    <t xml:space="preserve">Offset </t>
  </si>
  <si>
    <t>Working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</si>
</sst>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71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164" fontId="0" fillId="2" borderId="1" xfId="0" applyNumberFormat="1" applyFill="1" applyBorder="1"/>
    <xf numFmtId="0" fontId="0" fillId="2" borderId="0" xfId="0" applyFill="1"/>
    <xf numFmtId="0" fontId="5" fillId="2" borderId="1" xfId="0" applyFont="1" applyFill="1" applyBorder="1"/>
    <xf numFmtId="0" fontId="1" fillId="2" borderId="0" xfId="0" applyFont="1" applyFill="1"/>
    <xf numFmtId="0" fontId="1" fillId="2" borderId="2" xfId="0" applyFont="1" applyFill="1" applyBorder="1"/>
    <xf numFmtId="0" fontId="0" fillId="2" borderId="0" xfId="0" applyFill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164" fontId="5" fillId="2" borderId="1" xfId="0" applyNumberFormat="1" applyFont="1" applyFill="1" applyBorder="1"/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9" fillId="0" borderId="1" xfId="0" applyFont="1" applyBorder="1" applyAlignment="1">
      <alignment horizontal="left" indent="5"/>
    </xf>
    <xf numFmtId="0" fontId="0" fillId="2" borderId="0" xfId="0" applyFill="1" applyAlignment="1">
      <alignment vertical="center"/>
    </xf>
    <xf numFmtId="0" fontId="6" fillId="2" borderId="4" xfId="0" applyFont="1" applyFill="1" applyBorder="1" applyAlignment="1">
      <alignment horizontal="left" vertical="center"/>
    </xf>
    <xf numFmtId="0" fontId="0" fillId="2" borderId="4" xfId="0" applyFill="1" applyBorder="1"/>
    <xf numFmtId="164" fontId="0" fillId="2" borderId="4" xfId="0" applyNumberFormat="1" applyFill="1" applyBorder="1"/>
    <xf numFmtId="164" fontId="5" fillId="2" borderId="4" xfId="0" applyNumberFormat="1" applyFont="1" applyFill="1" applyBorder="1"/>
    <xf numFmtId="0" fontId="0" fillId="2" borderId="1" xfId="0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14" fontId="0" fillId="2" borderId="0" xfId="0" applyNumberFormat="1" applyFill="1" applyAlignment="1">
      <alignment horizontal="center" vertical="center" textRotation="90"/>
    </xf>
    <xf numFmtId="164" fontId="2" fillId="2" borderId="4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indent="2"/>
    </xf>
    <xf numFmtId="0" fontId="8" fillId="4" borderId="1" xfId="0" applyFont="1" applyFill="1" applyBorder="1" applyAlignment="1">
      <alignment horizontal="left" indent="2"/>
    </xf>
    <xf numFmtId="0" fontId="8" fillId="5" borderId="1" xfId="0" applyFont="1" applyFill="1" applyBorder="1" applyAlignment="1">
      <alignment horizontal="left" indent="2"/>
    </xf>
    <xf numFmtId="0" fontId="8" fillId="6" borderId="1" xfId="0" applyFont="1" applyFill="1" applyBorder="1" applyAlignment="1">
      <alignment horizontal="left" indent="2"/>
    </xf>
    <xf numFmtId="164" fontId="0" fillId="0" borderId="1" xfId="0" applyNumberForma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wrapText="1"/>
    </xf>
    <xf numFmtId="0" fontId="5" fillId="3" borderId="1" xfId="0" applyFont="1" applyFill="1" applyBorder="1"/>
    <xf numFmtId="164" fontId="5" fillId="3" borderId="1" xfId="0" applyNumberFormat="1" applyFont="1" applyFill="1" applyBorder="1"/>
    <xf numFmtId="0" fontId="7" fillId="0" borderId="0" xfId="1"/>
    <xf numFmtId="0" fontId="7" fillId="0" borderId="1" xfId="1" applyBorder="1"/>
    <xf numFmtId="0" fontId="11" fillId="4" borderId="1" xfId="0" applyFont="1" applyFill="1" applyBorder="1"/>
    <xf numFmtId="164" fontId="11" fillId="4" borderId="1" xfId="0" applyNumberFormat="1" applyFont="1" applyFill="1" applyBorder="1"/>
    <xf numFmtId="164" fontId="5" fillId="5" borderId="1" xfId="0" applyNumberFormat="1" applyFont="1" applyFill="1" applyBorder="1"/>
    <xf numFmtId="0" fontId="4" fillId="6" borderId="1" xfId="0" applyFont="1" applyFill="1" applyBorder="1" applyAlignment="1">
      <alignment wrapText="1"/>
    </xf>
    <xf numFmtId="0" fontId="5" fillId="6" borderId="1" xfId="0" applyFont="1" applyFill="1" applyBorder="1"/>
    <xf numFmtId="164" fontId="5" fillId="6" borderId="1" xfId="0" applyNumberFormat="1" applyFont="1" applyFill="1" applyBorder="1"/>
    <xf numFmtId="0" fontId="4" fillId="4" borderId="1" xfId="0" applyFont="1" applyFill="1" applyBorder="1" applyAlignment="1">
      <alignment wrapText="1"/>
    </xf>
    <xf numFmtId="0" fontId="5" fillId="4" borderId="1" xfId="0" applyFont="1" applyFill="1" applyBorder="1"/>
    <xf numFmtId="164" fontId="5" fillId="4" borderId="1" xfId="0" applyNumberFormat="1" applyFont="1" applyFill="1" applyBorder="1"/>
    <xf numFmtId="0" fontId="0" fillId="2" borderId="1" xfId="0" applyFill="1" applyBorder="1" applyAlignment="1">
      <alignment vertical="center"/>
    </xf>
    <xf numFmtId="0" fontId="4" fillId="7" borderId="1" xfId="0" applyFont="1" applyFill="1" applyBorder="1" applyAlignment="1">
      <alignment wrapText="1"/>
    </xf>
    <xf numFmtId="0" fontId="5" fillId="7" borderId="1" xfId="0" applyFont="1" applyFill="1" applyBorder="1"/>
    <xf numFmtId="0" fontId="6" fillId="2" borderId="1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7" fillId="0" borderId="0" xfId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Normal" xfId="0" builtinId="0"/>
    <cellStyle name="Normal 2" xfId="1" xr:uid="{0FF28C69-8BF4-4491-BD67-41FBD37CC72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B9C42-17F4-407D-93AF-25E8C88A7137}">
  <dimension ref="A1:DN446"/>
  <sheetViews>
    <sheetView tabSelected="1" zoomScaleNormal="100" workbookViewId="0">
      <selection activeCell="M6" sqref="M6"/>
    </sheetView>
  </sheetViews>
  <sheetFormatPr defaultRowHeight="14.4" x14ac:dyDescent="0.3"/>
  <cols>
    <col min="1" max="1" width="2" style="4" customWidth="1"/>
    <col min="2" max="2" width="8.88671875" style="4" hidden="1" customWidth="1"/>
    <col min="3" max="3" width="84.33203125" style="8" customWidth="1"/>
    <col min="4" max="5" width="8.88671875" style="4"/>
    <col min="6" max="6" width="34.44140625" style="4" customWidth="1"/>
    <col min="7" max="7" width="35.109375" style="4" customWidth="1"/>
    <col min="8" max="8" width="4.6640625" style="16" customWidth="1"/>
    <col min="9" max="9" width="4.6640625" style="4" customWidth="1"/>
    <col min="10" max="10" width="42.33203125" style="4" hidden="1" customWidth="1"/>
    <col min="11" max="117" width="4.6640625" style="4" customWidth="1"/>
    <col min="118" max="16384" width="8.88671875" style="4"/>
  </cols>
  <sheetData>
    <row r="1" spans="1:118" s="21" customFormat="1" ht="75.599999999999994" customHeight="1" x14ac:dyDescent="0.3">
      <c r="C1" s="22" t="s">
        <v>32</v>
      </c>
      <c r="D1" s="23" t="s">
        <v>44</v>
      </c>
      <c r="E1" s="23" t="s">
        <v>33</v>
      </c>
      <c r="F1" s="24" t="s">
        <v>34</v>
      </c>
      <c r="G1" s="24" t="s">
        <v>35</v>
      </c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  <c r="CS1" s="28"/>
      <c r="CT1" s="28"/>
      <c r="CU1" s="28"/>
      <c r="CV1" s="28"/>
      <c r="CW1" s="28"/>
      <c r="CX1" s="28"/>
      <c r="CY1" s="28"/>
      <c r="CZ1" s="28"/>
      <c r="DA1" s="28"/>
      <c r="DB1" s="28"/>
      <c r="DC1" s="28"/>
      <c r="DD1" s="28"/>
      <c r="DE1" s="28"/>
      <c r="DF1" s="28"/>
      <c r="DG1" s="28"/>
      <c r="DH1" s="28"/>
      <c r="DI1" s="28"/>
      <c r="DJ1" s="28"/>
      <c r="DK1" s="28"/>
      <c r="DL1" s="28"/>
      <c r="DM1" s="28"/>
      <c r="DN1" s="58"/>
    </row>
    <row r="2" spans="1:118" s="25" customFormat="1" ht="18.600000000000001" customHeight="1" x14ac:dyDescent="0.3">
      <c r="C2" s="17" t="s">
        <v>45</v>
      </c>
      <c r="D2" s="26"/>
      <c r="E2" s="26"/>
      <c r="F2" s="59">
        <v>46266</v>
      </c>
      <c r="G2" s="59">
        <v>46346</v>
      </c>
      <c r="H2" s="1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</row>
    <row r="3" spans="1:118" s="25" customFormat="1" ht="18.600000000000001" customHeight="1" x14ac:dyDescent="0.3">
      <c r="C3" s="30" t="s">
        <v>46</v>
      </c>
      <c r="D3" s="44"/>
      <c r="E3" s="26">
        <v>1</v>
      </c>
      <c r="F3" s="29">
        <v>46296</v>
      </c>
      <c r="G3" s="29">
        <f>WORKDAY(F3,E3-1,0)</f>
        <v>46296</v>
      </c>
      <c r="H3" s="16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</row>
    <row r="4" spans="1:118" s="25" customFormat="1" ht="18.600000000000001" customHeight="1" x14ac:dyDescent="0.3">
      <c r="C4" s="31" t="s">
        <v>47</v>
      </c>
      <c r="D4" s="44"/>
      <c r="E4" s="26">
        <v>1</v>
      </c>
      <c r="F4" s="29">
        <v>46297</v>
      </c>
      <c r="G4" s="29">
        <f t="shared" ref="G4:G6" si="0">WORKDAY(F4,E4-1,0)</f>
        <v>46297</v>
      </c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</row>
    <row r="5" spans="1:118" s="25" customFormat="1" ht="18.600000000000001" customHeight="1" x14ac:dyDescent="0.3">
      <c r="C5" s="32" t="s">
        <v>48</v>
      </c>
      <c r="D5" s="44"/>
      <c r="E5" s="26">
        <v>1</v>
      </c>
      <c r="F5" s="29">
        <v>46310</v>
      </c>
      <c r="G5" s="29">
        <f t="shared" si="0"/>
        <v>46310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</row>
    <row r="6" spans="1:118" s="25" customFormat="1" ht="18.600000000000001" customHeight="1" x14ac:dyDescent="0.3">
      <c r="C6" s="33" t="s">
        <v>49</v>
      </c>
      <c r="D6" s="44"/>
      <c r="E6" s="26">
        <v>1</v>
      </c>
      <c r="F6" s="29">
        <v>46311</v>
      </c>
      <c r="G6" s="29">
        <f t="shared" si="0"/>
        <v>46311</v>
      </c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</row>
    <row r="7" spans="1:118" s="25" customFormat="1" ht="18.600000000000001" customHeight="1" x14ac:dyDescent="0.3">
      <c r="C7" s="17"/>
      <c r="D7" s="23"/>
      <c r="E7" s="26"/>
      <c r="F7" s="27"/>
      <c r="G7" s="27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</row>
    <row r="8" spans="1:118" ht="15.75" customHeight="1" x14ac:dyDescent="0.3">
      <c r="C8" s="17" t="s">
        <v>1</v>
      </c>
      <c r="D8" s="18"/>
      <c r="E8" s="18">
        <v>28</v>
      </c>
      <c r="F8" s="19">
        <v>46296</v>
      </c>
      <c r="G8" s="20">
        <f t="shared" ref="G8:G283" si="1">WORKDAY(F8,E8-1,0)</f>
        <v>46335</v>
      </c>
    </row>
    <row r="9" spans="1:118" ht="15.75" customHeight="1" x14ac:dyDescent="0.3">
      <c r="A9" s="6"/>
      <c r="C9" s="10" t="s">
        <v>85</v>
      </c>
      <c r="D9" s="1">
        <v>6</v>
      </c>
      <c r="E9" s="1">
        <v>23</v>
      </c>
      <c r="F9" s="3">
        <f>Startdate</f>
        <v>46266</v>
      </c>
      <c r="G9" s="11">
        <f>WORKDAY(F9,E9-1,0)</f>
        <v>46296</v>
      </c>
    </row>
    <row r="10" spans="1:118" ht="15.75" customHeight="1" x14ac:dyDescent="0.3">
      <c r="A10" s="6"/>
      <c r="C10" s="10" t="s">
        <v>106</v>
      </c>
      <c r="D10" s="1">
        <v>8</v>
      </c>
      <c r="E10" s="1">
        <v>20</v>
      </c>
      <c r="F10" s="3">
        <f>Startdate</f>
        <v>46266</v>
      </c>
      <c r="G10" s="11">
        <f t="shared" si="1"/>
        <v>46293</v>
      </c>
    </row>
    <row r="11" spans="1:118" ht="15.75" customHeight="1" x14ac:dyDescent="0.3">
      <c r="A11" s="7"/>
      <c r="C11" s="10" t="s">
        <v>50</v>
      </c>
      <c r="D11" s="2">
        <v>4</v>
      </c>
      <c r="E11" s="2">
        <v>1</v>
      </c>
      <c r="F11" s="3">
        <f>F3</f>
        <v>46296</v>
      </c>
      <c r="G11" s="11">
        <v>46311</v>
      </c>
    </row>
    <row r="12" spans="1:118" ht="15.75" customHeight="1" x14ac:dyDescent="0.3">
      <c r="A12" s="6"/>
      <c r="C12" s="10" t="s">
        <v>51</v>
      </c>
      <c r="D12" s="2"/>
      <c r="E12" s="2">
        <v>1</v>
      </c>
      <c r="F12" s="3">
        <f>F11</f>
        <v>46296</v>
      </c>
      <c r="G12" s="11">
        <v>46311</v>
      </c>
    </row>
    <row r="13" spans="1:118" ht="15.75" customHeight="1" x14ac:dyDescent="0.3">
      <c r="A13" s="6"/>
      <c r="C13" s="10" t="s">
        <v>52</v>
      </c>
      <c r="D13" s="2"/>
      <c r="E13" s="2">
        <v>1</v>
      </c>
      <c r="F13" s="3">
        <f>F11</f>
        <v>46296</v>
      </c>
      <c r="G13" s="11">
        <v>46311</v>
      </c>
    </row>
    <row r="14" spans="1:118" ht="15.75" customHeight="1" x14ac:dyDescent="0.3">
      <c r="A14" s="6"/>
      <c r="C14" s="10" t="s">
        <v>53</v>
      </c>
      <c r="D14" s="2"/>
      <c r="E14" s="2">
        <v>1</v>
      </c>
      <c r="F14" s="3">
        <f>F11</f>
        <v>46296</v>
      </c>
      <c r="G14" s="11">
        <v>46311</v>
      </c>
    </row>
    <row r="15" spans="1:118" ht="15.75" customHeight="1" x14ac:dyDescent="0.3">
      <c r="A15" s="6"/>
      <c r="C15" s="10"/>
      <c r="D15" s="2"/>
      <c r="E15" s="2"/>
      <c r="F15" s="3"/>
      <c r="G15" s="11"/>
    </row>
    <row r="16" spans="1:118" ht="15.75" customHeight="1" x14ac:dyDescent="0.3">
      <c r="C16" s="10" t="s">
        <v>54</v>
      </c>
      <c r="D16" s="2"/>
      <c r="E16" s="2">
        <v>5</v>
      </c>
      <c r="F16" s="3">
        <f>F11</f>
        <v>46296</v>
      </c>
      <c r="G16" s="11">
        <f t="shared" si="1"/>
        <v>46302</v>
      </c>
    </row>
    <row r="17" spans="1:10" ht="15.75" customHeight="1" x14ac:dyDescent="0.3">
      <c r="C17" s="10" t="s">
        <v>55</v>
      </c>
      <c r="D17" s="2"/>
      <c r="E17" s="2">
        <v>5</v>
      </c>
      <c r="F17" s="3">
        <f>F11</f>
        <v>46296</v>
      </c>
      <c r="G17" s="11">
        <f t="shared" si="1"/>
        <v>46302</v>
      </c>
    </row>
    <row r="18" spans="1:10" ht="15.75" customHeight="1" x14ac:dyDescent="0.3">
      <c r="C18" s="10" t="s">
        <v>56</v>
      </c>
      <c r="D18" s="2"/>
      <c r="E18" s="2">
        <v>5</v>
      </c>
      <c r="F18" s="3">
        <f>F11</f>
        <v>46296</v>
      </c>
      <c r="G18" s="11">
        <f t="shared" si="1"/>
        <v>46302</v>
      </c>
    </row>
    <row r="19" spans="1:10" ht="15.75" customHeight="1" x14ac:dyDescent="0.3">
      <c r="C19" s="10" t="s">
        <v>57</v>
      </c>
      <c r="D19" s="2"/>
      <c r="E19" s="2">
        <v>5</v>
      </c>
      <c r="F19" s="3">
        <f>F11</f>
        <v>46296</v>
      </c>
      <c r="G19" s="11">
        <f t="shared" si="1"/>
        <v>46302</v>
      </c>
    </row>
    <row r="20" spans="1:10" ht="15.75" customHeight="1" x14ac:dyDescent="0.3">
      <c r="C20" s="10"/>
      <c r="D20" s="2"/>
      <c r="E20" s="2"/>
      <c r="F20" s="3"/>
      <c r="G20" s="11"/>
    </row>
    <row r="21" spans="1:10" ht="15.75" customHeight="1" x14ac:dyDescent="0.3">
      <c r="C21" s="57" t="s">
        <v>86</v>
      </c>
      <c r="D21" s="2"/>
      <c r="E21" s="2"/>
      <c r="F21" s="3"/>
      <c r="G21" s="11"/>
    </row>
    <row r="22" spans="1:10" ht="15.75" customHeight="1" x14ac:dyDescent="0.3">
      <c r="C22" s="10" t="s">
        <v>87</v>
      </c>
      <c r="D22" s="2">
        <v>24</v>
      </c>
      <c r="E22" s="2"/>
      <c r="F22" s="3">
        <f>F57</f>
        <v>46296</v>
      </c>
      <c r="G22" s="11">
        <f>G84</f>
        <v>46309</v>
      </c>
    </row>
    <row r="23" spans="1:10" ht="15.75" customHeight="1" x14ac:dyDescent="0.3">
      <c r="C23" s="10" t="s">
        <v>88</v>
      </c>
      <c r="D23" s="2">
        <v>24</v>
      </c>
      <c r="E23" s="2"/>
      <c r="F23" s="3">
        <f>F93</f>
        <v>46310</v>
      </c>
      <c r="G23" s="11">
        <f>G120</f>
        <v>46323</v>
      </c>
    </row>
    <row r="24" spans="1:10" ht="15.75" customHeight="1" x14ac:dyDescent="0.3">
      <c r="C24" s="10" t="s">
        <v>89</v>
      </c>
      <c r="D24" s="2">
        <v>24</v>
      </c>
      <c r="E24" s="2"/>
      <c r="F24" s="3">
        <f>F129</f>
        <v>46324</v>
      </c>
      <c r="G24" s="11">
        <f>G156</f>
        <v>46337</v>
      </c>
    </row>
    <row r="25" spans="1:10" ht="15.75" customHeight="1" x14ac:dyDescent="0.3">
      <c r="C25" s="10" t="s">
        <v>90</v>
      </c>
      <c r="D25" s="2">
        <v>12</v>
      </c>
      <c r="E25" s="2"/>
      <c r="F25" s="3">
        <f>F165</f>
        <v>46338</v>
      </c>
      <c r="G25" s="11">
        <f>G183</f>
        <v>46346</v>
      </c>
    </row>
    <row r="26" spans="1:10" ht="15.75" customHeight="1" x14ac:dyDescent="0.3">
      <c r="C26" s="10"/>
      <c r="D26" s="2"/>
      <c r="E26" s="2"/>
      <c r="F26" s="3"/>
      <c r="G26" s="11"/>
    </row>
    <row r="27" spans="1:10" ht="15.75" customHeight="1" x14ac:dyDescent="0.3">
      <c r="C27" s="9" t="s">
        <v>30</v>
      </c>
      <c r="D27" s="2"/>
      <c r="E27" s="2"/>
      <c r="F27" s="3"/>
      <c r="G27" s="11"/>
    </row>
    <row r="28" spans="1:10" ht="15.75" customHeight="1" x14ac:dyDescent="0.3">
      <c r="A28" s="43" t="e">
        <f>+_xlfn.CONCAT("DH ",#REF!," - Panel ",#REF!)</f>
        <v>#REF!</v>
      </c>
      <c r="B28" s="43" t="e">
        <f>+_xlfn.CONCAT("DH ",#REF!," - Panel ",#REF!)</f>
        <v>#REF!</v>
      </c>
      <c r="C28" s="44" t="s">
        <v>58</v>
      </c>
      <c r="D28" s="1"/>
      <c r="E28" s="5">
        <f>G28-F28</f>
        <v>11</v>
      </c>
      <c r="F28" s="3">
        <f>F3</f>
        <v>46296</v>
      </c>
      <c r="G28" s="3">
        <f>G57</f>
        <v>46307</v>
      </c>
      <c r="J28" s="3">
        <v>46297</v>
      </c>
    </row>
    <row r="29" spans="1:10" ht="15.75" customHeight="1" x14ac:dyDescent="0.3">
      <c r="A29" s="43" t="e">
        <f t="shared" ref="A29" si="2">+_xlfn.CONCAT("DH ",#REF!," - Panel ",#REF!)</f>
        <v>#REF!</v>
      </c>
      <c r="B29" s="43" t="e">
        <f t="shared" ref="B29" si="3">+_xlfn.CONCAT("DH ",#REF!," - Panel ",#REF!)</f>
        <v>#REF!</v>
      </c>
      <c r="C29" s="44" t="s">
        <v>59</v>
      </c>
      <c r="D29" s="1"/>
      <c r="E29" s="5">
        <f t="shared" ref="E29:E55" si="4">G29-F29</f>
        <v>13</v>
      </c>
      <c r="F29" s="3">
        <f>F28</f>
        <v>46296</v>
      </c>
      <c r="G29" s="3">
        <f>G66</f>
        <v>46309</v>
      </c>
      <c r="J29" s="3">
        <v>46297</v>
      </c>
    </row>
    <row r="30" spans="1:10" ht="15.75" customHeight="1" x14ac:dyDescent="0.3">
      <c r="A30" s="43" t="e">
        <f t="shared" ref="A30" si="5">+_xlfn.CONCAT("DH ",#REF!," - Panel ",#REF!)</f>
        <v>#REF!</v>
      </c>
      <c r="B30" s="43" t="e">
        <f t="shared" ref="B30" si="6">+_xlfn.CONCAT("DH ",#REF!," - Panel ",#REF!)</f>
        <v>#REF!</v>
      </c>
      <c r="C30" s="44" t="s">
        <v>60</v>
      </c>
      <c r="D30" s="1"/>
      <c r="E30" s="5">
        <f t="shared" si="4"/>
        <v>11</v>
      </c>
      <c r="F30" s="3">
        <f>F28</f>
        <v>46296</v>
      </c>
      <c r="G30" s="3">
        <f>G75</f>
        <v>46307</v>
      </c>
      <c r="J30" s="3">
        <v>46310</v>
      </c>
    </row>
    <row r="31" spans="1:10" ht="15.75" customHeight="1" x14ac:dyDescent="0.3">
      <c r="A31" s="43" t="e">
        <f t="shared" ref="A31" si="7">+_xlfn.CONCAT("DH ",#REF!," - Panel ",#REF!)</f>
        <v>#REF!</v>
      </c>
      <c r="B31" s="43" t="e">
        <f t="shared" ref="B31" si="8">+_xlfn.CONCAT("DH ",#REF!," - Panel ",#REF!)</f>
        <v>#REF!</v>
      </c>
      <c r="C31" s="44" t="s">
        <v>61</v>
      </c>
      <c r="D31" s="1"/>
      <c r="E31" s="5">
        <f t="shared" si="4"/>
        <v>13</v>
      </c>
      <c r="F31" s="3">
        <f>F28</f>
        <v>46296</v>
      </c>
      <c r="G31" s="3">
        <f>G84</f>
        <v>46309</v>
      </c>
      <c r="J31" s="3">
        <v>46310</v>
      </c>
    </row>
    <row r="32" spans="1:10" ht="15.75" customHeight="1" x14ac:dyDescent="0.3">
      <c r="A32" s="43" t="e">
        <f t="shared" ref="A32" si="9">+_xlfn.CONCAT("DH ",#REF!," - Panel ",#REF!)</f>
        <v>#REF!</v>
      </c>
      <c r="B32" s="43" t="e">
        <f t="shared" ref="B32" si="10">+_xlfn.CONCAT("DH ",#REF!," - Panel ",#REF!)</f>
        <v>#REF!</v>
      </c>
      <c r="C32" s="44" t="s">
        <v>62</v>
      </c>
      <c r="D32" s="1"/>
      <c r="E32" s="5">
        <f t="shared" si="4"/>
        <v>8</v>
      </c>
      <c r="F32" s="3">
        <f>G31+1</f>
        <v>46310</v>
      </c>
      <c r="G32" s="3">
        <f>G93</f>
        <v>46318</v>
      </c>
      <c r="J32" s="3">
        <v>46324</v>
      </c>
    </row>
    <row r="33" spans="1:10" ht="15.75" customHeight="1" x14ac:dyDescent="0.3">
      <c r="A33" s="43" t="e">
        <f t="shared" ref="A33" si="11">+_xlfn.CONCAT("DH ",#REF!," - Panel ",#REF!)</f>
        <v>#REF!</v>
      </c>
      <c r="B33" s="43" t="e">
        <f t="shared" ref="B33" si="12">+_xlfn.CONCAT("DH ",#REF!," - Panel ",#REF!)</f>
        <v>#REF!</v>
      </c>
      <c r="C33" s="44" t="s">
        <v>63</v>
      </c>
      <c r="D33" s="1"/>
      <c r="E33" s="5">
        <f t="shared" si="4"/>
        <v>13</v>
      </c>
      <c r="F33" s="3">
        <f>F32</f>
        <v>46310</v>
      </c>
      <c r="G33" s="3">
        <f>G102</f>
        <v>46323</v>
      </c>
      <c r="J33" s="3">
        <v>46324</v>
      </c>
    </row>
    <row r="34" spans="1:10" ht="15.75" customHeight="1" x14ac:dyDescent="0.3">
      <c r="A34" s="43" t="e">
        <f t="shared" ref="A34" si="13">+_xlfn.CONCAT("DH ",#REF!," - Panel ",#REF!)</f>
        <v>#REF!</v>
      </c>
      <c r="B34" s="43" t="e">
        <f t="shared" ref="B34" si="14">+_xlfn.CONCAT("DH ",#REF!," - Panel ",#REF!)</f>
        <v>#REF!</v>
      </c>
      <c r="C34" s="44" t="s">
        <v>64</v>
      </c>
      <c r="D34" s="1"/>
      <c r="E34" s="5">
        <f t="shared" si="4"/>
        <v>8</v>
      </c>
      <c r="F34" s="3">
        <f>F32</f>
        <v>46310</v>
      </c>
      <c r="G34" s="3">
        <f>G111</f>
        <v>46318</v>
      </c>
      <c r="J34" s="3">
        <v>46338</v>
      </c>
    </row>
    <row r="35" spans="1:10" ht="15.75" customHeight="1" x14ac:dyDescent="0.3">
      <c r="A35" s="43" t="e">
        <f t="shared" ref="A35" si="15">+_xlfn.CONCAT("DH ",#REF!," - Panel ",#REF!)</f>
        <v>#REF!</v>
      </c>
      <c r="B35" s="43" t="e">
        <f t="shared" ref="B35" si="16">+_xlfn.CONCAT("DH ",#REF!," - Panel ",#REF!)</f>
        <v>#REF!</v>
      </c>
      <c r="C35" s="44" t="s">
        <v>65</v>
      </c>
      <c r="D35" s="1"/>
      <c r="E35" s="5">
        <f t="shared" si="4"/>
        <v>13</v>
      </c>
      <c r="F35" s="3">
        <f>F32</f>
        <v>46310</v>
      </c>
      <c r="G35" s="3">
        <f>G120</f>
        <v>46323</v>
      </c>
      <c r="J35" s="3">
        <v>46338</v>
      </c>
    </row>
    <row r="36" spans="1:10" ht="15.75" customHeight="1" x14ac:dyDescent="0.3">
      <c r="A36" s="43" t="e">
        <f t="shared" ref="A36" si="17">+_xlfn.CONCAT("DH ",#REF!," - Panel ",#REF!)</f>
        <v>#REF!</v>
      </c>
      <c r="B36" s="43" t="e">
        <f t="shared" ref="B36" si="18">+_xlfn.CONCAT("DH ",#REF!," - Panel ",#REF!)</f>
        <v>#REF!</v>
      </c>
      <c r="C36" s="44" t="s">
        <v>66</v>
      </c>
      <c r="D36" s="1"/>
      <c r="E36" s="5">
        <f t="shared" si="4"/>
        <v>8</v>
      </c>
      <c r="F36" s="3">
        <f>G35+1</f>
        <v>46324</v>
      </c>
      <c r="G36" s="3">
        <f>G129</f>
        <v>46332</v>
      </c>
      <c r="J36" s="3">
        <v>46352</v>
      </c>
    </row>
    <row r="37" spans="1:10" ht="15.75" customHeight="1" x14ac:dyDescent="0.3">
      <c r="A37" s="43" t="e">
        <f t="shared" ref="A37" si="19">+_xlfn.CONCAT("DH ",#REF!," - Panel ",#REF!)</f>
        <v>#REF!</v>
      </c>
      <c r="B37" s="43" t="e">
        <f t="shared" ref="B37" si="20">+_xlfn.CONCAT("DH ",#REF!," - Panel ",#REF!)</f>
        <v>#REF!</v>
      </c>
      <c r="C37" s="44" t="s">
        <v>67</v>
      </c>
      <c r="D37" s="1"/>
      <c r="E37" s="5">
        <f t="shared" si="4"/>
        <v>13</v>
      </c>
      <c r="F37" s="3">
        <f>F36</f>
        <v>46324</v>
      </c>
      <c r="G37" s="3">
        <f>G138</f>
        <v>46337</v>
      </c>
      <c r="J37" s="3">
        <v>46352</v>
      </c>
    </row>
    <row r="38" spans="1:10" ht="15.75" customHeight="1" x14ac:dyDescent="0.3">
      <c r="A38" s="43" t="e">
        <f t="shared" ref="A38" si="21">+_xlfn.CONCAT("DH ",#REF!," - Panel ",#REF!)</f>
        <v>#REF!</v>
      </c>
      <c r="B38" s="43" t="e">
        <f t="shared" ref="B38" si="22">+_xlfn.CONCAT("DH ",#REF!," - Panel ",#REF!)</f>
        <v>#REF!</v>
      </c>
      <c r="C38" s="44" t="s">
        <v>68</v>
      </c>
      <c r="D38" s="1"/>
      <c r="E38" s="5">
        <f t="shared" si="4"/>
        <v>8</v>
      </c>
      <c r="F38" s="3">
        <f>F36</f>
        <v>46324</v>
      </c>
      <c r="G38" s="3">
        <f>G147</f>
        <v>46332</v>
      </c>
      <c r="J38" s="3">
        <v>46366</v>
      </c>
    </row>
    <row r="39" spans="1:10" ht="15.75" customHeight="1" x14ac:dyDescent="0.3">
      <c r="A39" s="43" t="e">
        <f t="shared" ref="A39" si="23">+_xlfn.CONCAT("DH ",#REF!," - Panel ",#REF!)</f>
        <v>#REF!</v>
      </c>
      <c r="B39" s="43" t="e">
        <f t="shared" ref="B39" si="24">+_xlfn.CONCAT("DH ",#REF!," - Panel ",#REF!)</f>
        <v>#REF!</v>
      </c>
      <c r="C39" s="44" t="s">
        <v>69</v>
      </c>
      <c r="D39" s="1"/>
      <c r="E39" s="5">
        <f t="shared" si="4"/>
        <v>13</v>
      </c>
      <c r="F39" s="3">
        <f>F36</f>
        <v>46324</v>
      </c>
      <c r="G39" s="3">
        <f>G156</f>
        <v>46337</v>
      </c>
      <c r="J39" s="3">
        <v>46366</v>
      </c>
    </row>
    <row r="40" spans="1:10" ht="15.75" customHeight="1" x14ac:dyDescent="0.3">
      <c r="A40" s="43" t="e">
        <f t="shared" ref="A40" si="25">+_xlfn.CONCAT("DH ",#REF!," - Panel ",#REF!)</f>
        <v>#REF!</v>
      </c>
      <c r="B40" s="43" t="e">
        <f t="shared" ref="B40" si="26">+_xlfn.CONCAT("DH ",#REF!," - Panel ",#REF!)</f>
        <v>#REF!</v>
      </c>
      <c r="C40" s="44" t="s">
        <v>70</v>
      </c>
      <c r="D40" s="1"/>
      <c r="E40" s="5">
        <f t="shared" si="4"/>
        <v>8</v>
      </c>
      <c r="F40" s="3">
        <f>G39+1</f>
        <v>46338</v>
      </c>
      <c r="G40" s="3">
        <f>G165</f>
        <v>46346</v>
      </c>
      <c r="J40" s="3">
        <v>46380</v>
      </c>
    </row>
    <row r="41" spans="1:10" ht="15.75" customHeight="1" x14ac:dyDescent="0.3">
      <c r="A41" s="43" t="e">
        <f t="shared" ref="A41" si="27">+_xlfn.CONCAT("DH ",#REF!," - Panel ",#REF!)</f>
        <v>#REF!</v>
      </c>
      <c r="B41" s="43" t="e">
        <f t="shared" ref="B41" si="28">+_xlfn.CONCAT("DH ",#REF!," - Panel ",#REF!)</f>
        <v>#REF!</v>
      </c>
      <c r="C41" s="44" t="s">
        <v>71</v>
      </c>
      <c r="D41" s="1"/>
      <c r="E41" s="5">
        <f t="shared" si="4"/>
        <v>13</v>
      </c>
      <c r="F41" s="3">
        <f>F40</f>
        <v>46338</v>
      </c>
      <c r="G41" s="3">
        <f>G174</f>
        <v>46351</v>
      </c>
      <c r="J41" s="3">
        <v>46391</v>
      </c>
    </row>
    <row r="42" spans="1:10" ht="15.75" customHeight="1" x14ac:dyDescent="0.3">
      <c r="A42" s="43" t="e">
        <f t="shared" ref="A42" si="29">+_xlfn.CONCAT("DH ",#REF!," - Panel ",#REF!)</f>
        <v>#REF!</v>
      </c>
      <c r="B42" s="43" t="e">
        <f t="shared" ref="B42" si="30">+_xlfn.CONCAT("DH ",#REF!," - Panel ",#REF!)</f>
        <v>#REF!</v>
      </c>
      <c r="C42" s="44" t="s">
        <v>72</v>
      </c>
      <c r="D42" s="1"/>
      <c r="E42" s="5">
        <f t="shared" si="4"/>
        <v>8</v>
      </c>
      <c r="F42" s="3">
        <f>F40</f>
        <v>46338</v>
      </c>
      <c r="G42" s="3">
        <f>G183</f>
        <v>46346</v>
      </c>
      <c r="J42" s="3">
        <v>46391</v>
      </c>
    </row>
    <row r="43" spans="1:10" ht="15.75" customHeight="1" x14ac:dyDescent="0.3">
      <c r="A43" s="43"/>
      <c r="B43" s="43"/>
      <c r="C43" s="9" t="s">
        <v>31</v>
      </c>
      <c r="D43" s="1"/>
      <c r="E43" s="5"/>
      <c r="F43" s="3"/>
      <c r="G43" s="3"/>
      <c r="J43" s="3"/>
    </row>
    <row r="44" spans="1:10" ht="15.75" customHeight="1" x14ac:dyDescent="0.3">
      <c r="A44" s="43" t="e">
        <f t="shared" ref="A44" si="31">+_xlfn.CONCAT("DH ",#REF!," - Panel ",#REF!)</f>
        <v>#REF!</v>
      </c>
      <c r="B44" s="43" t="e">
        <f t="shared" ref="B44" si="32">+_xlfn.CONCAT("DH ",#REF!," - Panel ",#REF!)</f>
        <v>#REF!</v>
      </c>
      <c r="C44" s="44" t="s">
        <v>73</v>
      </c>
      <c r="D44" s="1"/>
      <c r="E44" s="5">
        <f t="shared" si="4"/>
        <v>11</v>
      </c>
      <c r="F44" s="3">
        <f>F28</f>
        <v>46296</v>
      </c>
      <c r="G44" s="3">
        <f>G28</f>
        <v>46307</v>
      </c>
      <c r="J44" s="3">
        <f>J28</f>
        <v>46297</v>
      </c>
    </row>
    <row r="45" spans="1:10" ht="15.75" customHeight="1" x14ac:dyDescent="0.3">
      <c r="A45" s="43" t="e">
        <f t="shared" ref="A45" si="33">+_xlfn.CONCAT("DH ",#REF!," - Panel ",#REF!)</f>
        <v>#REF!</v>
      </c>
      <c r="B45" s="43" t="e">
        <f t="shared" ref="B45" si="34">+_xlfn.CONCAT("DH ",#REF!," - Panel ",#REF!)</f>
        <v>#REF!</v>
      </c>
      <c r="C45" s="44" t="s">
        <v>74</v>
      </c>
      <c r="D45" s="1"/>
      <c r="E45" s="5">
        <f t="shared" si="4"/>
        <v>13</v>
      </c>
      <c r="F45" s="3">
        <f t="shared" ref="F45:G55" si="35">F29</f>
        <v>46296</v>
      </c>
      <c r="G45" s="3">
        <f t="shared" si="35"/>
        <v>46309</v>
      </c>
      <c r="J45" s="3">
        <f t="shared" ref="J45" si="36">J29</f>
        <v>46297</v>
      </c>
    </row>
    <row r="46" spans="1:10" ht="15.75" customHeight="1" x14ac:dyDescent="0.3">
      <c r="A46" s="43" t="e">
        <f t="shared" ref="A46" si="37">+_xlfn.CONCAT("DH ",#REF!," - Panel ",#REF!)</f>
        <v>#REF!</v>
      </c>
      <c r="B46" s="43" t="e">
        <f t="shared" ref="B46" si="38">+_xlfn.CONCAT("DH ",#REF!," - Panel ",#REF!)</f>
        <v>#REF!</v>
      </c>
      <c r="C46" s="44" t="s">
        <v>75</v>
      </c>
      <c r="D46" s="1"/>
      <c r="E46" s="5">
        <f t="shared" si="4"/>
        <v>11</v>
      </c>
      <c r="F46" s="3">
        <f t="shared" si="35"/>
        <v>46296</v>
      </c>
      <c r="G46" s="3">
        <f t="shared" si="35"/>
        <v>46307</v>
      </c>
      <c r="J46" s="3">
        <f t="shared" ref="J46" si="39">J30</f>
        <v>46310</v>
      </c>
    </row>
    <row r="47" spans="1:10" ht="15.75" customHeight="1" x14ac:dyDescent="0.3">
      <c r="A47" s="43" t="e">
        <f t="shared" ref="A47" si="40">+_xlfn.CONCAT("DH ",#REF!," - Panel ",#REF!)</f>
        <v>#REF!</v>
      </c>
      <c r="B47" s="43" t="e">
        <f t="shared" ref="B47" si="41">+_xlfn.CONCAT("DH ",#REF!," - Panel ",#REF!)</f>
        <v>#REF!</v>
      </c>
      <c r="C47" s="44" t="s">
        <v>76</v>
      </c>
      <c r="D47" s="1"/>
      <c r="E47" s="5">
        <f t="shared" si="4"/>
        <v>13</v>
      </c>
      <c r="F47" s="3">
        <f t="shared" si="35"/>
        <v>46296</v>
      </c>
      <c r="G47" s="3">
        <f t="shared" si="35"/>
        <v>46309</v>
      </c>
      <c r="J47" s="3">
        <f t="shared" ref="J47" si="42">J31</f>
        <v>46310</v>
      </c>
    </row>
    <row r="48" spans="1:10" ht="15.75" customHeight="1" x14ac:dyDescent="0.3">
      <c r="A48" s="43" t="e">
        <f t="shared" ref="A48" si="43">+_xlfn.CONCAT("DH ",#REF!," - Panel ",#REF!)</f>
        <v>#REF!</v>
      </c>
      <c r="B48" s="43" t="e">
        <f t="shared" ref="B48" si="44">+_xlfn.CONCAT("DH ",#REF!," - Panel ",#REF!)</f>
        <v>#REF!</v>
      </c>
      <c r="C48" s="44" t="s">
        <v>77</v>
      </c>
      <c r="D48" s="1"/>
      <c r="E48" s="5">
        <f t="shared" si="4"/>
        <v>8</v>
      </c>
      <c r="F48" s="3">
        <f t="shared" si="35"/>
        <v>46310</v>
      </c>
      <c r="G48" s="3">
        <f t="shared" si="35"/>
        <v>46318</v>
      </c>
      <c r="J48" s="3">
        <f t="shared" ref="J48" si="45">J32</f>
        <v>46324</v>
      </c>
    </row>
    <row r="49" spans="1:10" ht="15.75" customHeight="1" x14ac:dyDescent="0.3">
      <c r="A49" s="43" t="e">
        <f t="shared" ref="A49" si="46">+_xlfn.CONCAT("DH ",#REF!," - Panel ",#REF!)</f>
        <v>#REF!</v>
      </c>
      <c r="B49" s="43" t="e">
        <f t="shared" ref="B49" si="47">+_xlfn.CONCAT("DH ",#REF!," - Panel ",#REF!)</f>
        <v>#REF!</v>
      </c>
      <c r="C49" s="44" t="s">
        <v>78</v>
      </c>
      <c r="D49" s="1"/>
      <c r="E49" s="5">
        <f t="shared" si="4"/>
        <v>13</v>
      </c>
      <c r="F49" s="3">
        <f t="shared" si="35"/>
        <v>46310</v>
      </c>
      <c r="G49" s="3">
        <f t="shared" si="35"/>
        <v>46323</v>
      </c>
      <c r="J49" s="3">
        <f t="shared" ref="J49" si="48">J33</f>
        <v>46324</v>
      </c>
    </row>
    <row r="50" spans="1:10" ht="15.75" customHeight="1" x14ac:dyDescent="0.3">
      <c r="A50" s="43" t="e">
        <f t="shared" ref="A50" si="49">+_xlfn.CONCAT("DH ",#REF!," - Panel ",#REF!)</f>
        <v>#REF!</v>
      </c>
      <c r="B50" s="43" t="e">
        <f t="shared" ref="B50" si="50">+_xlfn.CONCAT("DH ",#REF!," - Panel ",#REF!)</f>
        <v>#REF!</v>
      </c>
      <c r="C50" s="44" t="s">
        <v>79</v>
      </c>
      <c r="D50" s="1"/>
      <c r="E50" s="5">
        <f t="shared" si="4"/>
        <v>8</v>
      </c>
      <c r="F50" s="3">
        <f t="shared" si="35"/>
        <v>46310</v>
      </c>
      <c r="G50" s="3">
        <f t="shared" si="35"/>
        <v>46318</v>
      </c>
      <c r="J50" s="3">
        <f t="shared" ref="J50" si="51">J34</f>
        <v>46338</v>
      </c>
    </row>
    <row r="51" spans="1:10" ht="15.75" customHeight="1" x14ac:dyDescent="0.3">
      <c r="A51" s="43" t="e">
        <f t="shared" ref="A51" si="52">+_xlfn.CONCAT("DH ",#REF!," - Panel ",#REF!)</f>
        <v>#REF!</v>
      </c>
      <c r="B51" s="43" t="e">
        <f t="shared" ref="B51" si="53">+_xlfn.CONCAT("DH ",#REF!," - Panel ",#REF!)</f>
        <v>#REF!</v>
      </c>
      <c r="C51" s="44" t="s">
        <v>80</v>
      </c>
      <c r="D51" s="1"/>
      <c r="E51" s="5">
        <f t="shared" si="4"/>
        <v>13</v>
      </c>
      <c r="F51" s="3">
        <f t="shared" si="35"/>
        <v>46310</v>
      </c>
      <c r="G51" s="3">
        <f t="shared" si="35"/>
        <v>46323</v>
      </c>
      <c r="J51" s="3">
        <f t="shared" ref="J51" si="54">J35</f>
        <v>46338</v>
      </c>
    </row>
    <row r="52" spans="1:10" ht="15.75" customHeight="1" x14ac:dyDescent="0.3">
      <c r="A52" s="43" t="e">
        <f t="shared" ref="A52" si="55">+_xlfn.CONCAT("DH ",#REF!," - Panel ",#REF!)</f>
        <v>#REF!</v>
      </c>
      <c r="B52" s="43" t="e">
        <f t="shared" ref="B52" si="56">+_xlfn.CONCAT("DH ",#REF!," - Panel ",#REF!)</f>
        <v>#REF!</v>
      </c>
      <c r="C52" s="44" t="s">
        <v>81</v>
      </c>
      <c r="D52" s="1"/>
      <c r="E52" s="5">
        <f t="shared" si="4"/>
        <v>8</v>
      </c>
      <c r="F52" s="3">
        <f t="shared" si="35"/>
        <v>46324</v>
      </c>
      <c r="G52" s="3">
        <f t="shared" si="35"/>
        <v>46332</v>
      </c>
      <c r="J52" s="3">
        <f t="shared" ref="J52" si="57">J36</f>
        <v>46352</v>
      </c>
    </row>
    <row r="53" spans="1:10" ht="15.75" customHeight="1" x14ac:dyDescent="0.3">
      <c r="A53" s="43" t="e">
        <f t="shared" ref="A53" si="58">+_xlfn.CONCAT("DH ",#REF!," - Panel ",#REF!)</f>
        <v>#REF!</v>
      </c>
      <c r="B53" s="43" t="e">
        <f t="shared" ref="B53" si="59">+_xlfn.CONCAT("DH ",#REF!," - Panel ",#REF!)</f>
        <v>#REF!</v>
      </c>
      <c r="C53" s="44" t="s">
        <v>82</v>
      </c>
      <c r="D53" s="1"/>
      <c r="E53" s="5">
        <f t="shared" si="4"/>
        <v>13</v>
      </c>
      <c r="F53" s="3">
        <f t="shared" si="35"/>
        <v>46324</v>
      </c>
      <c r="G53" s="3">
        <f t="shared" si="35"/>
        <v>46337</v>
      </c>
      <c r="J53" s="3">
        <f t="shared" ref="J53" si="60">J37</f>
        <v>46352</v>
      </c>
    </row>
    <row r="54" spans="1:10" ht="15.75" customHeight="1" x14ac:dyDescent="0.3">
      <c r="A54" s="43" t="e">
        <f t="shared" ref="A54" si="61">+_xlfn.CONCAT("DH ",#REF!," - Panel ",#REF!)</f>
        <v>#REF!</v>
      </c>
      <c r="B54" s="43" t="e">
        <f t="shared" ref="B54" si="62">+_xlfn.CONCAT("DH ",#REF!," - Panel ",#REF!)</f>
        <v>#REF!</v>
      </c>
      <c r="C54" s="44" t="s">
        <v>83</v>
      </c>
      <c r="D54" s="1"/>
      <c r="E54" s="5">
        <f t="shared" si="4"/>
        <v>8</v>
      </c>
      <c r="F54" s="3">
        <f t="shared" si="35"/>
        <v>46324</v>
      </c>
      <c r="G54" s="3">
        <f t="shared" si="35"/>
        <v>46332</v>
      </c>
      <c r="J54" s="3">
        <f t="shared" ref="J54" si="63">J38</f>
        <v>46366</v>
      </c>
    </row>
    <row r="55" spans="1:10" ht="15.75" customHeight="1" x14ac:dyDescent="0.3">
      <c r="A55" s="43" t="e">
        <f t="shared" ref="A55" si="64">+_xlfn.CONCAT("DH ",#REF!," - Panel ",#REF!)</f>
        <v>#REF!</v>
      </c>
      <c r="B55" s="43" t="e">
        <f t="shared" ref="B55" si="65">+_xlfn.CONCAT("DH ",#REF!," - Panel ",#REF!)</f>
        <v>#REF!</v>
      </c>
      <c r="C55" s="44" t="s">
        <v>84</v>
      </c>
      <c r="D55" s="1"/>
      <c r="E55" s="5">
        <f t="shared" si="4"/>
        <v>13</v>
      </c>
      <c r="F55" s="3">
        <f t="shared" si="35"/>
        <v>46324</v>
      </c>
      <c r="G55" s="3">
        <f t="shared" si="35"/>
        <v>46337</v>
      </c>
      <c r="J55" s="3">
        <f t="shared" ref="J55" si="66">J39</f>
        <v>46366</v>
      </c>
    </row>
    <row r="56" spans="1:10" ht="15.75" customHeight="1" x14ac:dyDescent="0.3">
      <c r="C56" s="9" t="s">
        <v>30</v>
      </c>
      <c r="D56" s="1"/>
      <c r="E56" s="1"/>
      <c r="F56" s="3"/>
      <c r="G56" s="11"/>
    </row>
    <row r="57" spans="1:10" ht="15.75" customHeight="1" x14ac:dyDescent="0.3">
      <c r="C57" s="34" t="s">
        <v>3</v>
      </c>
      <c r="D57" s="40"/>
      <c r="E57" s="41">
        <f>G57-F57</f>
        <v>11</v>
      </c>
      <c r="F57" s="42">
        <f>F28</f>
        <v>46296</v>
      </c>
      <c r="G57" s="42">
        <f>G65</f>
        <v>46307</v>
      </c>
      <c r="H57" s="65">
        <v>1</v>
      </c>
    </row>
    <row r="58" spans="1:10" ht="15.75" customHeight="1" x14ac:dyDescent="0.3">
      <c r="C58" s="15" t="s">
        <v>36</v>
      </c>
      <c r="D58" s="12"/>
      <c r="E58" s="5">
        <v>1</v>
      </c>
      <c r="F58" s="11">
        <f>F57</f>
        <v>46296</v>
      </c>
      <c r="G58" s="11">
        <f t="shared" si="1"/>
        <v>46296</v>
      </c>
      <c r="H58" s="66"/>
    </row>
    <row r="59" spans="1:10" ht="15.75" customHeight="1" x14ac:dyDescent="0.3">
      <c r="C59" s="15" t="s">
        <v>37</v>
      </c>
      <c r="D59" s="12"/>
      <c r="E59" s="5">
        <v>1</v>
      </c>
      <c r="F59" s="11">
        <f>F58</f>
        <v>46296</v>
      </c>
      <c r="G59" s="11">
        <f t="shared" si="1"/>
        <v>46296</v>
      </c>
      <c r="H59" s="66"/>
    </row>
    <row r="60" spans="1:10" ht="15.75" customHeight="1" x14ac:dyDescent="0.3">
      <c r="C60" s="15" t="s">
        <v>38</v>
      </c>
      <c r="D60" s="12"/>
      <c r="E60" s="5">
        <v>2</v>
      </c>
      <c r="F60" s="11">
        <f>WORKDAY(G59,1,0)</f>
        <v>46297</v>
      </c>
      <c r="G60" s="11">
        <f t="shared" si="1"/>
        <v>46300</v>
      </c>
      <c r="H60" s="66"/>
    </row>
    <row r="61" spans="1:10" ht="15.75" customHeight="1" x14ac:dyDescent="0.3">
      <c r="C61" s="15" t="s">
        <v>40</v>
      </c>
      <c r="D61" s="12"/>
      <c r="E61" s="5">
        <v>2</v>
      </c>
      <c r="F61" s="11">
        <f>WORKDAY(G60,1,0)</f>
        <v>46301</v>
      </c>
      <c r="G61" s="11">
        <f t="shared" si="1"/>
        <v>46302</v>
      </c>
      <c r="H61" s="66"/>
    </row>
    <row r="62" spans="1:10" ht="15.75" customHeight="1" x14ac:dyDescent="0.3">
      <c r="C62" s="15" t="s">
        <v>39</v>
      </c>
      <c r="D62" s="12"/>
      <c r="E62" s="5">
        <v>3</v>
      </c>
      <c r="F62" s="11">
        <f>F61</f>
        <v>46301</v>
      </c>
      <c r="G62" s="11">
        <f t="shared" si="1"/>
        <v>46303</v>
      </c>
      <c r="H62" s="66"/>
    </row>
    <row r="63" spans="1:10" ht="15.75" customHeight="1" x14ac:dyDescent="0.3">
      <c r="C63" s="15" t="s">
        <v>41</v>
      </c>
      <c r="D63" s="12"/>
      <c r="E63" s="5">
        <v>1</v>
      </c>
      <c r="F63" s="11">
        <f t="shared" ref="F63" si="67">WORKDAY(G62,1,0)</f>
        <v>46304</v>
      </c>
      <c r="G63" s="11">
        <f t="shared" si="1"/>
        <v>46304</v>
      </c>
      <c r="H63" s="66"/>
    </row>
    <row r="64" spans="1:10" ht="15.75" customHeight="1" x14ac:dyDescent="0.3">
      <c r="C64" s="15" t="s">
        <v>42</v>
      </c>
      <c r="D64" s="12"/>
      <c r="E64" s="5">
        <v>1</v>
      </c>
      <c r="F64" s="11">
        <f>WORKDAY(F63,0,0)</f>
        <v>46304</v>
      </c>
      <c r="G64" s="11">
        <f t="shared" si="1"/>
        <v>46304</v>
      </c>
      <c r="H64" s="66"/>
    </row>
    <row r="65" spans="2:8" ht="15.75" customHeight="1" x14ac:dyDescent="0.3">
      <c r="C65" s="15" t="s">
        <v>43</v>
      </c>
      <c r="D65" s="12"/>
      <c r="E65" s="5">
        <v>1</v>
      </c>
      <c r="F65" s="11">
        <f>WORKDAY(G63,1,0)</f>
        <v>46307</v>
      </c>
      <c r="G65" s="11">
        <f t="shared" si="1"/>
        <v>46307</v>
      </c>
      <c r="H65" s="66"/>
    </row>
    <row r="66" spans="2:8" s="8" customFormat="1" ht="15.75" customHeight="1" x14ac:dyDescent="0.3">
      <c r="C66" s="34" t="s">
        <v>4</v>
      </c>
      <c r="D66" s="40"/>
      <c r="E66" s="41">
        <f>G66-F66</f>
        <v>13</v>
      </c>
      <c r="F66" s="42">
        <f>F29</f>
        <v>46296</v>
      </c>
      <c r="G66" s="42">
        <f>G74</f>
        <v>46309</v>
      </c>
      <c r="H66" s="66"/>
    </row>
    <row r="67" spans="2:8" ht="15.75" customHeight="1" x14ac:dyDescent="0.3">
      <c r="C67" s="15" t="s">
        <v>36</v>
      </c>
      <c r="D67" s="12"/>
      <c r="E67" s="5">
        <v>1</v>
      </c>
      <c r="F67" s="11">
        <f>F66</f>
        <v>46296</v>
      </c>
      <c r="G67" s="11">
        <f t="shared" ref="G67:G74" si="68">WORKDAY(F67,E67-1,0)</f>
        <v>46296</v>
      </c>
      <c r="H67" s="66"/>
    </row>
    <row r="68" spans="2:8" ht="15.75" customHeight="1" x14ac:dyDescent="0.3">
      <c r="C68" s="15" t="s">
        <v>37</v>
      </c>
      <c r="D68" s="12"/>
      <c r="E68" s="5">
        <v>1</v>
      </c>
      <c r="F68" s="11">
        <f>F67</f>
        <v>46296</v>
      </c>
      <c r="G68" s="11">
        <f t="shared" si="68"/>
        <v>46296</v>
      </c>
      <c r="H68" s="66"/>
    </row>
    <row r="69" spans="2:8" ht="15.75" customHeight="1" x14ac:dyDescent="0.3">
      <c r="C69" s="15" t="s">
        <v>38</v>
      </c>
      <c r="D69" s="12"/>
      <c r="E69" s="5">
        <v>2</v>
      </c>
      <c r="F69" s="11">
        <f>WORKDAY(G68,1,0)</f>
        <v>46297</v>
      </c>
      <c r="G69" s="11">
        <f t="shared" si="68"/>
        <v>46300</v>
      </c>
      <c r="H69" s="66"/>
    </row>
    <row r="70" spans="2:8" ht="15.75" customHeight="1" x14ac:dyDescent="0.3">
      <c r="C70" s="15" t="s">
        <v>40</v>
      </c>
      <c r="D70" s="12"/>
      <c r="E70" s="5">
        <v>2</v>
      </c>
      <c r="F70" s="11">
        <f>F63</f>
        <v>46304</v>
      </c>
      <c r="G70" s="11">
        <f t="shared" si="68"/>
        <v>46307</v>
      </c>
      <c r="H70" s="66"/>
    </row>
    <row r="71" spans="2:8" ht="15.75" customHeight="1" x14ac:dyDescent="0.3">
      <c r="C71" s="15" t="s">
        <v>39</v>
      </c>
      <c r="D71" s="12"/>
      <c r="E71" s="5">
        <v>3</v>
      </c>
      <c r="F71" s="11">
        <f>F70</f>
        <v>46304</v>
      </c>
      <c r="G71" s="11">
        <f t="shared" si="68"/>
        <v>46308</v>
      </c>
      <c r="H71" s="66"/>
    </row>
    <row r="72" spans="2:8" ht="15.75" customHeight="1" x14ac:dyDescent="0.3">
      <c r="C72" s="15" t="s">
        <v>41</v>
      </c>
      <c r="D72" s="12"/>
      <c r="E72" s="5">
        <v>1</v>
      </c>
      <c r="F72" s="11">
        <f t="shared" ref="F72" si="69">WORKDAY(G71,1,0)</f>
        <v>46309</v>
      </c>
      <c r="G72" s="11">
        <f t="shared" si="68"/>
        <v>46309</v>
      </c>
      <c r="H72" s="66"/>
    </row>
    <row r="73" spans="2:8" ht="15.75" customHeight="1" x14ac:dyDescent="0.3">
      <c r="C73" s="15" t="s">
        <v>42</v>
      </c>
      <c r="D73" s="12"/>
      <c r="E73" s="5">
        <v>1</v>
      </c>
      <c r="F73" s="11">
        <f>WORKDAY(F72,0,0)</f>
        <v>46309</v>
      </c>
      <c r="G73" s="11">
        <f t="shared" si="68"/>
        <v>46309</v>
      </c>
      <c r="H73" s="66"/>
    </row>
    <row r="74" spans="2:8" ht="15.75" customHeight="1" x14ac:dyDescent="0.3">
      <c r="C74" s="15" t="s">
        <v>43</v>
      </c>
      <c r="D74" s="12"/>
      <c r="E74" s="5">
        <v>1</v>
      </c>
      <c r="F74" s="11">
        <f>WORKDAY(G72,0,0)</f>
        <v>46309</v>
      </c>
      <c r="G74" s="11">
        <f t="shared" si="68"/>
        <v>46309</v>
      </c>
      <c r="H74" s="66"/>
    </row>
    <row r="75" spans="2:8" s="8" customFormat="1" ht="15.75" customHeight="1" x14ac:dyDescent="0.3">
      <c r="B75" s="8" t="s">
        <v>0</v>
      </c>
      <c r="C75" s="34" t="s">
        <v>5</v>
      </c>
      <c r="D75" s="40"/>
      <c r="E75" s="41">
        <f>G75-F75</f>
        <v>11</v>
      </c>
      <c r="F75" s="42">
        <f>F30</f>
        <v>46296</v>
      </c>
      <c r="G75" s="42">
        <f>G83</f>
        <v>46307</v>
      </c>
      <c r="H75" s="66"/>
    </row>
    <row r="76" spans="2:8" ht="15.75" customHeight="1" x14ac:dyDescent="0.3">
      <c r="C76" s="15" t="s">
        <v>36</v>
      </c>
      <c r="D76" s="12"/>
      <c r="E76" s="5">
        <v>1</v>
      </c>
      <c r="F76" s="11">
        <f>F75</f>
        <v>46296</v>
      </c>
      <c r="G76" s="11">
        <f t="shared" ref="G76:G83" si="70">WORKDAY(F76,E76-1,0)</f>
        <v>46296</v>
      </c>
      <c r="H76" s="66"/>
    </row>
    <row r="77" spans="2:8" ht="15.75" customHeight="1" x14ac:dyDescent="0.3">
      <c r="C77" s="15" t="s">
        <v>37</v>
      </c>
      <c r="D77" s="12"/>
      <c r="E77" s="5">
        <v>1</v>
      </c>
      <c r="F77" s="11">
        <f>F76</f>
        <v>46296</v>
      </c>
      <c r="G77" s="11">
        <f t="shared" si="70"/>
        <v>46296</v>
      </c>
      <c r="H77" s="66"/>
    </row>
    <row r="78" spans="2:8" ht="15.75" customHeight="1" x14ac:dyDescent="0.3">
      <c r="C78" s="15" t="s">
        <v>38</v>
      </c>
      <c r="D78" s="12"/>
      <c r="E78" s="5">
        <v>2</v>
      </c>
      <c r="F78" s="11">
        <f>WORKDAY(G77,1,0)</f>
        <v>46297</v>
      </c>
      <c r="G78" s="11">
        <f t="shared" si="70"/>
        <v>46300</v>
      </c>
      <c r="H78" s="66"/>
    </row>
    <row r="79" spans="2:8" ht="15.75" customHeight="1" x14ac:dyDescent="0.3">
      <c r="C79" s="15" t="s">
        <v>40</v>
      </c>
      <c r="D79" s="12"/>
      <c r="E79" s="5">
        <v>2</v>
      </c>
      <c r="F79" s="11">
        <f>WORKDAY(G78,1,0)</f>
        <v>46301</v>
      </c>
      <c r="G79" s="11">
        <f t="shared" si="70"/>
        <v>46302</v>
      </c>
      <c r="H79" s="66"/>
    </row>
    <row r="80" spans="2:8" ht="15.75" customHeight="1" x14ac:dyDescent="0.3">
      <c r="C80" s="15" t="s">
        <v>39</v>
      </c>
      <c r="D80" s="12"/>
      <c r="E80" s="5">
        <v>3</v>
      </c>
      <c r="F80" s="11">
        <f>F79</f>
        <v>46301</v>
      </c>
      <c r="G80" s="11">
        <f t="shared" si="70"/>
        <v>46303</v>
      </c>
      <c r="H80" s="66"/>
    </row>
    <row r="81" spans="3:8" ht="15.75" customHeight="1" x14ac:dyDescent="0.3">
      <c r="C81" s="15" t="s">
        <v>41</v>
      </c>
      <c r="D81" s="12"/>
      <c r="E81" s="5">
        <v>1</v>
      </c>
      <c r="F81" s="11">
        <f t="shared" ref="F81" si="71">WORKDAY(G80,1,0)</f>
        <v>46304</v>
      </c>
      <c r="G81" s="11">
        <f t="shared" si="70"/>
        <v>46304</v>
      </c>
      <c r="H81" s="66"/>
    </row>
    <row r="82" spans="3:8" ht="15.75" customHeight="1" x14ac:dyDescent="0.3">
      <c r="C82" s="15" t="s">
        <v>42</v>
      </c>
      <c r="D82" s="12"/>
      <c r="E82" s="5">
        <v>1</v>
      </c>
      <c r="F82" s="11">
        <f>WORKDAY(F81,0,0)</f>
        <v>46304</v>
      </c>
      <c r="G82" s="11">
        <f t="shared" si="70"/>
        <v>46304</v>
      </c>
      <c r="H82" s="66"/>
    </row>
    <row r="83" spans="3:8" ht="15.75" customHeight="1" x14ac:dyDescent="0.3">
      <c r="C83" s="15" t="s">
        <v>43</v>
      </c>
      <c r="D83" s="12"/>
      <c r="E83" s="5">
        <v>1</v>
      </c>
      <c r="F83" s="11">
        <f>WORKDAY(G81,1,0)</f>
        <v>46307</v>
      </c>
      <c r="G83" s="11">
        <f t="shared" si="70"/>
        <v>46307</v>
      </c>
      <c r="H83" s="66"/>
    </row>
    <row r="84" spans="3:8" s="8" customFormat="1" ht="15" customHeight="1" x14ac:dyDescent="0.3">
      <c r="C84" s="34" t="s">
        <v>6</v>
      </c>
      <c r="D84" s="40"/>
      <c r="E84" s="41">
        <f>G84-F84</f>
        <v>13</v>
      </c>
      <c r="F84" s="42">
        <f>F31</f>
        <v>46296</v>
      </c>
      <c r="G84" s="42">
        <f>G92</f>
        <v>46309</v>
      </c>
      <c r="H84" s="66"/>
    </row>
    <row r="85" spans="3:8" ht="15.75" customHeight="1" x14ac:dyDescent="0.3">
      <c r="C85" s="15" t="s">
        <v>36</v>
      </c>
      <c r="D85" s="12"/>
      <c r="E85" s="5">
        <v>1</v>
      </c>
      <c r="F85" s="11">
        <f>F84</f>
        <v>46296</v>
      </c>
      <c r="G85" s="11">
        <f t="shared" ref="G85:G92" si="72">WORKDAY(F85,E85-1,0)</f>
        <v>46296</v>
      </c>
      <c r="H85" s="66"/>
    </row>
    <row r="86" spans="3:8" ht="15.75" customHeight="1" x14ac:dyDescent="0.3">
      <c r="C86" s="15" t="s">
        <v>37</v>
      </c>
      <c r="D86" s="12"/>
      <c r="E86" s="5">
        <v>1</v>
      </c>
      <c r="F86" s="11">
        <f>F85</f>
        <v>46296</v>
      </c>
      <c r="G86" s="11">
        <f t="shared" si="72"/>
        <v>46296</v>
      </c>
      <c r="H86" s="66"/>
    </row>
    <row r="87" spans="3:8" ht="15.75" customHeight="1" x14ac:dyDescent="0.3">
      <c r="C87" s="15" t="s">
        <v>38</v>
      </c>
      <c r="D87" s="12"/>
      <c r="E87" s="5">
        <v>2</v>
      </c>
      <c r="F87" s="11">
        <f>WORKDAY(G86,1,0)</f>
        <v>46297</v>
      </c>
      <c r="G87" s="11">
        <f t="shared" si="72"/>
        <v>46300</v>
      </c>
      <c r="H87" s="66"/>
    </row>
    <row r="88" spans="3:8" ht="15.75" customHeight="1" x14ac:dyDescent="0.3">
      <c r="C88" s="15" t="s">
        <v>40</v>
      </c>
      <c r="D88" s="12"/>
      <c r="E88" s="5">
        <v>2</v>
      </c>
      <c r="F88" s="11">
        <f>F81</f>
        <v>46304</v>
      </c>
      <c r="G88" s="11">
        <f t="shared" si="72"/>
        <v>46307</v>
      </c>
      <c r="H88" s="66"/>
    </row>
    <row r="89" spans="3:8" ht="15.75" customHeight="1" x14ac:dyDescent="0.3">
      <c r="C89" s="15" t="s">
        <v>39</v>
      </c>
      <c r="D89" s="12"/>
      <c r="E89" s="5">
        <v>3</v>
      </c>
      <c r="F89" s="11">
        <f>F88</f>
        <v>46304</v>
      </c>
      <c r="G89" s="11">
        <f t="shared" si="72"/>
        <v>46308</v>
      </c>
      <c r="H89" s="66"/>
    </row>
    <row r="90" spans="3:8" ht="15.75" customHeight="1" x14ac:dyDescent="0.3">
      <c r="C90" s="15" t="s">
        <v>41</v>
      </c>
      <c r="D90" s="12"/>
      <c r="E90" s="5">
        <v>1</v>
      </c>
      <c r="F90" s="11">
        <f t="shared" ref="F90" si="73">WORKDAY(G89,1,0)</f>
        <v>46309</v>
      </c>
      <c r="G90" s="11">
        <f t="shared" si="72"/>
        <v>46309</v>
      </c>
      <c r="H90" s="66"/>
    </row>
    <row r="91" spans="3:8" ht="15.75" customHeight="1" x14ac:dyDescent="0.3">
      <c r="C91" s="15" t="s">
        <v>42</v>
      </c>
      <c r="D91" s="12"/>
      <c r="E91" s="5">
        <v>1</v>
      </c>
      <c r="F91" s="11">
        <f>WORKDAY(F90,0,0)</f>
        <v>46309</v>
      </c>
      <c r="G91" s="11">
        <f t="shared" si="72"/>
        <v>46309</v>
      </c>
      <c r="H91" s="66"/>
    </row>
    <row r="92" spans="3:8" ht="15.75" customHeight="1" x14ac:dyDescent="0.3">
      <c r="C92" s="15" t="s">
        <v>43</v>
      </c>
      <c r="D92" s="12"/>
      <c r="E92" s="5">
        <v>1</v>
      </c>
      <c r="F92" s="11">
        <f>WORKDAY(G90,0,0)</f>
        <v>46309</v>
      </c>
      <c r="G92" s="11">
        <f t="shared" si="72"/>
        <v>46309</v>
      </c>
      <c r="H92" s="67"/>
    </row>
    <row r="93" spans="3:8" s="8" customFormat="1" x14ac:dyDescent="0.3">
      <c r="C93" s="34" t="s">
        <v>7</v>
      </c>
      <c r="D93" s="40"/>
      <c r="E93" s="41">
        <f>G93-F93</f>
        <v>8</v>
      </c>
      <c r="F93" s="42">
        <f>F32</f>
        <v>46310</v>
      </c>
      <c r="G93" s="42">
        <f>G101</f>
        <v>46318</v>
      </c>
      <c r="H93" s="65">
        <v>2</v>
      </c>
    </row>
    <row r="94" spans="3:8" ht="15.75" customHeight="1" x14ac:dyDescent="0.3">
      <c r="C94" s="15" t="s">
        <v>36</v>
      </c>
      <c r="D94" s="12"/>
      <c r="E94" s="5">
        <v>1</v>
      </c>
      <c r="F94" s="11">
        <f>F93</f>
        <v>46310</v>
      </c>
      <c r="G94" s="11">
        <f t="shared" ref="G94:G101" si="74">WORKDAY(F94,E94-1,0)</f>
        <v>46310</v>
      </c>
      <c r="H94" s="66"/>
    </row>
    <row r="95" spans="3:8" ht="15.75" customHeight="1" x14ac:dyDescent="0.3">
      <c r="C95" s="15" t="s">
        <v>37</v>
      </c>
      <c r="D95" s="12"/>
      <c r="E95" s="5">
        <v>1</v>
      </c>
      <c r="F95" s="11">
        <f>F94</f>
        <v>46310</v>
      </c>
      <c r="G95" s="11">
        <f t="shared" si="74"/>
        <v>46310</v>
      </c>
      <c r="H95" s="66"/>
    </row>
    <row r="96" spans="3:8" ht="15.75" customHeight="1" x14ac:dyDescent="0.3">
      <c r="C96" s="15" t="s">
        <v>38</v>
      </c>
      <c r="D96" s="12"/>
      <c r="E96" s="5">
        <v>2</v>
      </c>
      <c r="F96" s="11">
        <f>WORKDAY(G95,1,0)</f>
        <v>46311</v>
      </c>
      <c r="G96" s="11">
        <f t="shared" si="74"/>
        <v>46314</v>
      </c>
      <c r="H96" s="66"/>
    </row>
    <row r="97" spans="3:8" ht="15.75" customHeight="1" x14ac:dyDescent="0.3">
      <c r="C97" s="15" t="s">
        <v>40</v>
      </c>
      <c r="D97" s="12"/>
      <c r="E97" s="5">
        <v>2</v>
      </c>
      <c r="F97" s="11">
        <f>WORKDAY(G96,1,0)</f>
        <v>46315</v>
      </c>
      <c r="G97" s="11">
        <f t="shared" si="74"/>
        <v>46316</v>
      </c>
      <c r="H97" s="66"/>
    </row>
    <row r="98" spans="3:8" ht="15.75" customHeight="1" x14ac:dyDescent="0.3">
      <c r="C98" s="15" t="s">
        <v>39</v>
      </c>
      <c r="D98" s="12"/>
      <c r="E98" s="5">
        <v>3</v>
      </c>
      <c r="F98" s="11">
        <f>F97</f>
        <v>46315</v>
      </c>
      <c r="G98" s="11">
        <f t="shared" si="74"/>
        <v>46317</v>
      </c>
      <c r="H98" s="66"/>
    </row>
    <row r="99" spans="3:8" ht="15.75" customHeight="1" x14ac:dyDescent="0.3">
      <c r="C99" s="15" t="s">
        <v>41</v>
      </c>
      <c r="D99" s="12"/>
      <c r="E99" s="5">
        <v>1</v>
      </c>
      <c r="F99" s="11">
        <f t="shared" ref="F99" si="75">WORKDAY(G98,1,0)</f>
        <v>46318</v>
      </c>
      <c r="G99" s="11">
        <f t="shared" si="74"/>
        <v>46318</v>
      </c>
      <c r="H99" s="66"/>
    </row>
    <row r="100" spans="3:8" ht="15.75" customHeight="1" x14ac:dyDescent="0.3">
      <c r="C100" s="15" t="s">
        <v>42</v>
      </c>
      <c r="D100" s="12"/>
      <c r="E100" s="5">
        <v>1</v>
      </c>
      <c r="F100" s="11">
        <f>WORKDAY(F99,0,0)</f>
        <v>46318</v>
      </c>
      <c r="G100" s="11">
        <f t="shared" si="74"/>
        <v>46318</v>
      </c>
      <c r="H100" s="66"/>
    </row>
    <row r="101" spans="3:8" ht="15.75" customHeight="1" x14ac:dyDescent="0.3">
      <c r="C101" s="15" t="s">
        <v>43</v>
      </c>
      <c r="D101" s="12"/>
      <c r="E101" s="5">
        <v>1</v>
      </c>
      <c r="F101" s="11">
        <f>WORKDAY(G99,0,0)</f>
        <v>46318</v>
      </c>
      <c r="G101" s="11">
        <f t="shared" si="74"/>
        <v>46318</v>
      </c>
      <c r="H101" s="66"/>
    </row>
    <row r="102" spans="3:8" s="8" customFormat="1" x14ac:dyDescent="0.3">
      <c r="C102" s="34" t="s">
        <v>8</v>
      </c>
      <c r="D102" s="40"/>
      <c r="E102" s="41">
        <f>G102-F102</f>
        <v>13</v>
      </c>
      <c r="F102" s="42">
        <f>F33</f>
        <v>46310</v>
      </c>
      <c r="G102" s="42">
        <f>G110</f>
        <v>46323</v>
      </c>
      <c r="H102" s="66"/>
    </row>
    <row r="103" spans="3:8" ht="15.75" customHeight="1" x14ac:dyDescent="0.3">
      <c r="C103" s="15" t="s">
        <v>36</v>
      </c>
      <c r="D103" s="12"/>
      <c r="E103" s="5">
        <v>1</v>
      </c>
      <c r="F103" s="11">
        <f>F102</f>
        <v>46310</v>
      </c>
      <c r="G103" s="11">
        <f t="shared" ref="G103:G110" si="76">WORKDAY(F103,E103-1,0)</f>
        <v>46310</v>
      </c>
      <c r="H103" s="66"/>
    </row>
    <row r="104" spans="3:8" ht="15.75" customHeight="1" x14ac:dyDescent="0.3">
      <c r="C104" s="15" t="s">
        <v>37</v>
      </c>
      <c r="D104" s="12"/>
      <c r="E104" s="5">
        <v>1</v>
      </c>
      <c r="F104" s="11">
        <f>F103</f>
        <v>46310</v>
      </c>
      <c r="G104" s="11">
        <f t="shared" si="76"/>
        <v>46310</v>
      </c>
      <c r="H104" s="66"/>
    </row>
    <row r="105" spans="3:8" ht="15.75" customHeight="1" x14ac:dyDescent="0.3">
      <c r="C105" s="15" t="s">
        <v>38</v>
      </c>
      <c r="D105" s="12"/>
      <c r="E105" s="5">
        <v>2</v>
      </c>
      <c r="F105" s="11">
        <f>WORKDAY(G104,1,0)</f>
        <v>46311</v>
      </c>
      <c r="G105" s="11">
        <f t="shared" si="76"/>
        <v>46314</v>
      </c>
      <c r="H105" s="66"/>
    </row>
    <row r="106" spans="3:8" ht="15.75" customHeight="1" x14ac:dyDescent="0.3">
      <c r="C106" s="15" t="s">
        <v>40</v>
      </c>
      <c r="D106" s="12"/>
      <c r="E106" s="5">
        <v>2</v>
      </c>
      <c r="F106" s="11">
        <f>F99</f>
        <v>46318</v>
      </c>
      <c r="G106" s="11">
        <f t="shared" si="76"/>
        <v>46321</v>
      </c>
      <c r="H106" s="66"/>
    </row>
    <row r="107" spans="3:8" ht="15.75" customHeight="1" x14ac:dyDescent="0.3">
      <c r="C107" s="15" t="s">
        <v>39</v>
      </c>
      <c r="D107" s="12"/>
      <c r="E107" s="5">
        <v>3</v>
      </c>
      <c r="F107" s="11">
        <f>F106</f>
        <v>46318</v>
      </c>
      <c r="G107" s="11">
        <f t="shared" si="76"/>
        <v>46322</v>
      </c>
      <c r="H107" s="66"/>
    </row>
    <row r="108" spans="3:8" ht="15.75" customHeight="1" x14ac:dyDescent="0.3">
      <c r="C108" s="15" t="s">
        <v>41</v>
      </c>
      <c r="D108" s="12"/>
      <c r="E108" s="5">
        <v>1</v>
      </c>
      <c r="F108" s="11">
        <f t="shared" ref="F108" si="77">WORKDAY(G107,1,0)</f>
        <v>46323</v>
      </c>
      <c r="G108" s="11">
        <f t="shared" si="76"/>
        <v>46323</v>
      </c>
      <c r="H108" s="66"/>
    </row>
    <row r="109" spans="3:8" ht="15.75" customHeight="1" x14ac:dyDescent="0.3">
      <c r="C109" s="15" t="s">
        <v>42</v>
      </c>
      <c r="D109" s="12"/>
      <c r="E109" s="5">
        <v>1</v>
      </c>
      <c r="F109" s="11">
        <f>WORKDAY(F108,0,0)</f>
        <v>46323</v>
      </c>
      <c r="G109" s="11">
        <f t="shared" si="76"/>
        <v>46323</v>
      </c>
      <c r="H109" s="66"/>
    </row>
    <row r="110" spans="3:8" ht="15.75" customHeight="1" x14ac:dyDescent="0.3">
      <c r="C110" s="15" t="s">
        <v>43</v>
      </c>
      <c r="D110" s="12"/>
      <c r="E110" s="5">
        <v>1</v>
      </c>
      <c r="F110" s="11">
        <f>WORKDAY(G108,0,0)</f>
        <v>46323</v>
      </c>
      <c r="G110" s="11">
        <f t="shared" si="76"/>
        <v>46323</v>
      </c>
      <c r="H110" s="66"/>
    </row>
    <row r="111" spans="3:8" x14ac:dyDescent="0.3">
      <c r="C111" s="34" t="s">
        <v>9</v>
      </c>
      <c r="D111" s="40"/>
      <c r="E111" s="41">
        <f>G111-F111</f>
        <v>8</v>
      </c>
      <c r="F111" s="42">
        <f>F34</f>
        <v>46310</v>
      </c>
      <c r="G111" s="42">
        <f>G119</f>
        <v>46318</v>
      </c>
      <c r="H111" s="66"/>
    </row>
    <row r="112" spans="3:8" ht="15.75" customHeight="1" x14ac:dyDescent="0.3">
      <c r="C112" s="15" t="s">
        <v>36</v>
      </c>
      <c r="D112" s="12"/>
      <c r="E112" s="5">
        <v>1</v>
      </c>
      <c r="F112" s="11">
        <f>F111</f>
        <v>46310</v>
      </c>
      <c r="G112" s="11">
        <f t="shared" ref="G112:G119" si="78">WORKDAY(F112,E112-1,0)</f>
        <v>46310</v>
      </c>
      <c r="H112" s="66"/>
    </row>
    <row r="113" spans="3:8" ht="15.75" customHeight="1" x14ac:dyDescent="0.3">
      <c r="C113" s="15" t="s">
        <v>37</v>
      </c>
      <c r="D113" s="12"/>
      <c r="E113" s="5">
        <v>1</v>
      </c>
      <c r="F113" s="11">
        <f>F112</f>
        <v>46310</v>
      </c>
      <c r="G113" s="11">
        <f t="shared" si="78"/>
        <v>46310</v>
      </c>
      <c r="H113" s="66"/>
    </row>
    <row r="114" spans="3:8" ht="15.75" customHeight="1" x14ac:dyDescent="0.3">
      <c r="C114" s="15" t="s">
        <v>38</v>
      </c>
      <c r="D114" s="12"/>
      <c r="E114" s="5">
        <v>2</v>
      </c>
      <c r="F114" s="11">
        <f>WORKDAY(G113,1,0)</f>
        <v>46311</v>
      </c>
      <c r="G114" s="11">
        <f t="shared" si="78"/>
        <v>46314</v>
      </c>
      <c r="H114" s="66"/>
    </row>
    <row r="115" spans="3:8" ht="15.75" customHeight="1" x14ac:dyDescent="0.3">
      <c r="C115" s="15" t="s">
        <v>40</v>
      </c>
      <c r="D115" s="12"/>
      <c r="E115" s="5">
        <v>2</v>
      </c>
      <c r="F115" s="11">
        <f>WORKDAY(G114,1,0)</f>
        <v>46315</v>
      </c>
      <c r="G115" s="11">
        <f t="shared" si="78"/>
        <v>46316</v>
      </c>
      <c r="H115" s="66"/>
    </row>
    <row r="116" spans="3:8" ht="15.75" customHeight="1" x14ac:dyDescent="0.3">
      <c r="C116" s="15" t="s">
        <v>39</v>
      </c>
      <c r="D116" s="12"/>
      <c r="E116" s="5">
        <v>3</v>
      </c>
      <c r="F116" s="11">
        <f>F115</f>
        <v>46315</v>
      </c>
      <c r="G116" s="11">
        <f t="shared" si="78"/>
        <v>46317</v>
      </c>
      <c r="H116" s="66"/>
    </row>
    <row r="117" spans="3:8" ht="15.75" customHeight="1" x14ac:dyDescent="0.3">
      <c r="C117" s="15" t="s">
        <v>41</v>
      </c>
      <c r="D117" s="12"/>
      <c r="E117" s="5">
        <v>1</v>
      </c>
      <c r="F117" s="11">
        <f t="shared" ref="F117" si="79">WORKDAY(G116,1,0)</f>
        <v>46318</v>
      </c>
      <c r="G117" s="11">
        <f t="shared" si="78"/>
        <v>46318</v>
      </c>
      <c r="H117" s="66"/>
    </row>
    <row r="118" spans="3:8" ht="15.75" customHeight="1" x14ac:dyDescent="0.3">
      <c r="C118" s="15" t="s">
        <v>42</v>
      </c>
      <c r="D118" s="12"/>
      <c r="E118" s="5">
        <v>1</v>
      </c>
      <c r="F118" s="11">
        <f>WORKDAY(F117,0,0)</f>
        <v>46318</v>
      </c>
      <c r="G118" s="11">
        <f t="shared" si="78"/>
        <v>46318</v>
      </c>
      <c r="H118" s="66"/>
    </row>
    <row r="119" spans="3:8" ht="15.75" customHeight="1" x14ac:dyDescent="0.3">
      <c r="C119" s="15" t="s">
        <v>43</v>
      </c>
      <c r="D119" s="12"/>
      <c r="E119" s="5">
        <v>1</v>
      </c>
      <c r="F119" s="11">
        <f>WORKDAY(G117,0,0)</f>
        <v>46318</v>
      </c>
      <c r="G119" s="11">
        <f t="shared" si="78"/>
        <v>46318</v>
      </c>
      <c r="H119" s="66"/>
    </row>
    <row r="120" spans="3:8" s="8" customFormat="1" x14ac:dyDescent="0.3">
      <c r="C120" s="34" t="s">
        <v>10</v>
      </c>
      <c r="D120" s="40"/>
      <c r="E120" s="41">
        <f>G120-F120</f>
        <v>13</v>
      </c>
      <c r="F120" s="42">
        <f>F35</f>
        <v>46310</v>
      </c>
      <c r="G120" s="42">
        <f>G128</f>
        <v>46323</v>
      </c>
      <c r="H120" s="66"/>
    </row>
    <row r="121" spans="3:8" ht="15.75" customHeight="1" x14ac:dyDescent="0.3">
      <c r="C121" s="15" t="s">
        <v>36</v>
      </c>
      <c r="D121" s="12"/>
      <c r="E121" s="5">
        <v>1</v>
      </c>
      <c r="F121" s="11">
        <f>F120</f>
        <v>46310</v>
      </c>
      <c r="G121" s="11">
        <f t="shared" ref="G121:G128" si="80">WORKDAY(F121,E121-1,0)</f>
        <v>46310</v>
      </c>
      <c r="H121" s="66"/>
    </row>
    <row r="122" spans="3:8" ht="15.75" customHeight="1" x14ac:dyDescent="0.3">
      <c r="C122" s="15" t="s">
        <v>37</v>
      </c>
      <c r="D122" s="12"/>
      <c r="E122" s="5">
        <v>1</v>
      </c>
      <c r="F122" s="11">
        <f>F121</f>
        <v>46310</v>
      </c>
      <c r="G122" s="11">
        <f t="shared" si="80"/>
        <v>46310</v>
      </c>
      <c r="H122" s="66"/>
    </row>
    <row r="123" spans="3:8" ht="15.75" customHeight="1" x14ac:dyDescent="0.3">
      <c r="C123" s="15" t="s">
        <v>38</v>
      </c>
      <c r="D123" s="12"/>
      <c r="E123" s="5">
        <v>2</v>
      </c>
      <c r="F123" s="11">
        <f>WORKDAY(G122,1,0)</f>
        <v>46311</v>
      </c>
      <c r="G123" s="11">
        <f t="shared" si="80"/>
        <v>46314</v>
      </c>
      <c r="H123" s="66"/>
    </row>
    <row r="124" spans="3:8" ht="15.75" customHeight="1" x14ac:dyDescent="0.3">
      <c r="C124" s="15" t="s">
        <v>40</v>
      </c>
      <c r="D124" s="12"/>
      <c r="E124" s="5">
        <v>2</v>
      </c>
      <c r="F124" s="11">
        <f>F117</f>
        <v>46318</v>
      </c>
      <c r="G124" s="11">
        <f t="shared" si="80"/>
        <v>46321</v>
      </c>
      <c r="H124" s="66"/>
    </row>
    <row r="125" spans="3:8" ht="15.75" customHeight="1" x14ac:dyDescent="0.3">
      <c r="C125" s="15" t="s">
        <v>39</v>
      </c>
      <c r="D125" s="12"/>
      <c r="E125" s="5">
        <v>3</v>
      </c>
      <c r="F125" s="11">
        <f>F124</f>
        <v>46318</v>
      </c>
      <c r="G125" s="11">
        <f t="shared" si="80"/>
        <v>46322</v>
      </c>
      <c r="H125" s="66"/>
    </row>
    <row r="126" spans="3:8" ht="15.75" customHeight="1" x14ac:dyDescent="0.3">
      <c r="C126" s="15" t="s">
        <v>41</v>
      </c>
      <c r="D126" s="12"/>
      <c r="E126" s="5">
        <v>1</v>
      </c>
      <c r="F126" s="11">
        <f t="shared" ref="F126" si="81">WORKDAY(G125,1,0)</f>
        <v>46323</v>
      </c>
      <c r="G126" s="11">
        <f t="shared" si="80"/>
        <v>46323</v>
      </c>
      <c r="H126" s="66"/>
    </row>
    <row r="127" spans="3:8" ht="15.75" customHeight="1" x14ac:dyDescent="0.3">
      <c r="C127" s="15" t="s">
        <v>42</v>
      </c>
      <c r="D127" s="12"/>
      <c r="E127" s="5">
        <v>1</v>
      </c>
      <c r="F127" s="11">
        <f>WORKDAY(F126,0,0)</f>
        <v>46323</v>
      </c>
      <c r="G127" s="11">
        <f t="shared" si="80"/>
        <v>46323</v>
      </c>
      <c r="H127" s="66"/>
    </row>
    <row r="128" spans="3:8" ht="15.75" customHeight="1" x14ac:dyDescent="0.3">
      <c r="C128" s="15" t="s">
        <v>43</v>
      </c>
      <c r="D128" s="12"/>
      <c r="E128" s="5">
        <v>1</v>
      </c>
      <c r="F128" s="11">
        <f>WORKDAY(G126,0,0)</f>
        <v>46323</v>
      </c>
      <c r="G128" s="11">
        <f t="shared" si="80"/>
        <v>46323</v>
      </c>
      <c r="H128" s="67"/>
    </row>
    <row r="129" spans="3:8" s="8" customFormat="1" x14ac:dyDescent="0.3">
      <c r="C129" s="36" t="s">
        <v>11</v>
      </c>
      <c r="D129" s="55"/>
      <c r="E129" s="56">
        <f>G129-F129</f>
        <v>8</v>
      </c>
      <c r="F129" s="47">
        <f>F36</f>
        <v>46324</v>
      </c>
      <c r="G129" s="47">
        <f>G137</f>
        <v>46332</v>
      </c>
      <c r="H129" s="65">
        <v>3</v>
      </c>
    </row>
    <row r="130" spans="3:8" ht="15.75" customHeight="1" x14ac:dyDescent="0.3">
      <c r="C130" s="15" t="s">
        <v>36</v>
      </c>
      <c r="D130" s="12"/>
      <c r="E130" s="5">
        <v>1</v>
      </c>
      <c r="F130" s="11">
        <f>F129</f>
        <v>46324</v>
      </c>
      <c r="G130" s="11">
        <f t="shared" ref="G130:G137" si="82">WORKDAY(F130,E130-1,0)</f>
        <v>46324</v>
      </c>
      <c r="H130" s="66"/>
    </row>
    <row r="131" spans="3:8" ht="15.75" customHeight="1" x14ac:dyDescent="0.3">
      <c r="C131" s="15" t="s">
        <v>37</v>
      </c>
      <c r="D131" s="12"/>
      <c r="E131" s="5">
        <v>1</v>
      </c>
      <c r="F131" s="11">
        <f>F130</f>
        <v>46324</v>
      </c>
      <c r="G131" s="11">
        <f t="shared" si="82"/>
        <v>46324</v>
      </c>
      <c r="H131" s="66"/>
    </row>
    <row r="132" spans="3:8" ht="15.75" customHeight="1" x14ac:dyDescent="0.3">
      <c r="C132" s="15" t="s">
        <v>38</v>
      </c>
      <c r="D132" s="12"/>
      <c r="E132" s="5">
        <v>2</v>
      </c>
      <c r="F132" s="11">
        <f>WORKDAY(G131,1,0)</f>
        <v>46325</v>
      </c>
      <c r="G132" s="11">
        <f t="shared" si="82"/>
        <v>46328</v>
      </c>
      <c r="H132" s="66"/>
    </row>
    <row r="133" spans="3:8" ht="15.75" customHeight="1" x14ac:dyDescent="0.3">
      <c r="C133" s="15" t="s">
        <v>40</v>
      </c>
      <c r="D133" s="12"/>
      <c r="E133" s="5">
        <v>2</v>
      </c>
      <c r="F133" s="11">
        <f>WORKDAY(G132,1,0)</f>
        <v>46329</v>
      </c>
      <c r="G133" s="11">
        <f t="shared" si="82"/>
        <v>46330</v>
      </c>
      <c r="H133" s="66"/>
    </row>
    <row r="134" spans="3:8" ht="15.75" customHeight="1" x14ac:dyDescent="0.3">
      <c r="C134" s="15" t="s">
        <v>39</v>
      </c>
      <c r="D134" s="12"/>
      <c r="E134" s="5">
        <v>3</v>
      </c>
      <c r="F134" s="11">
        <f>F133</f>
        <v>46329</v>
      </c>
      <c r="G134" s="11">
        <f t="shared" si="82"/>
        <v>46331</v>
      </c>
      <c r="H134" s="66"/>
    </row>
    <row r="135" spans="3:8" ht="15.75" customHeight="1" x14ac:dyDescent="0.3">
      <c r="C135" s="15" t="s">
        <v>41</v>
      </c>
      <c r="D135" s="12"/>
      <c r="E135" s="5">
        <v>1</v>
      </c>
      <c r="F135" s="11">
        <f t="shared" ref="F135" si="83">WORKDAY(G134,1,0)</f>
        <v>46332</v>
      </c>
      <c r="G135" s="11">
        <f t="shared" si="82"/>
        <v>46332</v>
      </c>
      <c r="H135" s="66"/>
    </row>
    <row r="136" spans="3:8" ht="15.75" customHeight="1" x14ac:dyDescent="0.3">
      <c r="C136" s="15" t="s">
        <v>42</v>
      </c>
      <c r="D136" s="12"/>
      <c r="E136" s="5">
        <v>1</v>
      </c>
      <c r="F136" s="11">
        <f>WORKDAY(F135,0,0)</f>
        <v>46332</v>
      </c>
      <c r="G136" s="11">
        <f t="shared" si="82"/>
        <v>46332</v>
      </c>
      <c r="H136" s="66"/>
    </row>
    <row r="137" spans="3:8" ht="15.75" customHeight="1" x14ac:dyDescent="0.3">
      <c r="C137" s="15" t="s">
        <v>43</v>
      </c>
      <c r="D137" s="12"/>
      <c r="E137" s="5">
        <v>1</v>
      </c>
      <c r="F137" s="11">
        <f>WORKDAY(G135,0,0)</f>
        <v>46332</v>
      </c>
      <c r="G137" s="11">
        <f t="shared" si="82"/>
        <v>46332</v>
      </c>
      <c r="H137" s="66"/>
    </row>
    <row r="138" spans="3:8" s="8" customFormat="1" x14ac:dyDescent="0.3">
      <c r="C138" s="36" t="s">
        <v>12</v>
      </c>
      <c r="D138" s="55"/>
      <c r="E138" s="56">
        <f>G138-F138</f>
        <v>13</v>
      </c>
      <c r="F138" s="47">
        <f>F37</f>
        <v>46324</v>
      </c>
      <c r="G138" s="47">
        <f>G146</f>
        <v>46337</v>
      </c>
      <c r="H138" s="66"/>
    </row>
    <row r="139" spans="3:8" ht="15.75" customHeight="1" x14ac:dyDescent="0.3">
      <c r="C139" s="15" t="s">
        <v>36</v>
      </c>
      <c r="D139" s="12"/>
      <c r="E139" s="5">
        <v>1</v>
      </c>
      <c r="F139" s="11">
        <f>F138</f>
        <v>46324</v>
      </c>
      <c r="G139" s="11">
        <f t="shared" ref="G139:G146" si="84">WORKDAY(F139,E139-1,0)</f>
        <v>46324</v>
      </c>
      <c r="H139" s="66"/>
    </row>
    <row r="140" spans="3:8" ht="15.75" customHeight="1" x14ac:dyDescent="0.3">
      <c r="C140" s="15" t="s">
        <v>37</v>
      </c>
      <c r="D140" s="12"/>
      <c r="E140" s="5">
        <v>1</v>
      </c>
      <c r="F140" s="11">
        <f>F139</f>
        <v>46324</v>
      </c>
      <c r="G140" s="11">
        <f t="shared" si="84"/>
        <v>46324</v>
      </c>
      <c r="H140" s="66"/>
    </row>
    <row r="141" spans="3:8" ht="15.75" customHeight="1" x14ac:dyDescent="0.3">
      <c r="C141" s="15" t="s">
        <v>38</v>
      </c>
      <c r="D141" s="12"/>
      <c r="E141" s="5">
        <v>2</v>
      </c>
      <c r="F141" s="11">
        <f>WORKDAY(G140,1,0)</f>
        <v>46325</v>
      </c>
      <c r="G141" s="11">
        <f t="shared" si="84"/>
        <v>46328</v>
      </c>
      <c r="H141" s="66"/>
    </row>
    <row r="142" spans="3:8" ht="15.75" customHeight="1" x14ac:dyDescent="0.3">
      <c r="C142" s="15" t="s">
        <v>40</v>
      </c>
      <c r="D142" s="12"/>
      <c r="E142" s="5">
        <v>2</v>
      </c>
      <c r="F142" s="11">
        <f>F135</f>
        <v>46332</v>
      </c>
      <c r="G142" s="11">
        <f t="shared" si="84"/>
        <v>46335</v>
      </c>
      <c r="H142" s="66"/>
    </row>
    <row r="143" spans="3:8" ht="15.75" customHeight="1" x14ac:dyDescent="0.3">
      <c r="C143" s="15" t="s">
        <v>39</v>
      </c>
      <c r="D143" s="12"/>
      <c r="E143" s="5">
        <v>3</v>
      </c>
      <c r="F143" s="11">
        <f>F142</f>
        <v>46332</v>
      </c>
      <c r="G143" s="11">
        <f t="shared" si="84"/>
        <v>46336</v>
      </c>
      <c r="H143" s="66"/>
    </row>
    <row r="144" spans="3:8" ht="15.75" customHeight="1" x14ac:dyDescent="0.3">
      <c r="C144" s="15" t="s">
        <v>41</v>
      </c>
      <c r="D144" s="12"/>
      <c r="E144" s="5">
        <v>1</v>
      </c>
      <c r="F144" s="11">
        <f t="shared" ref="F144" si="85">WORKDAY(G143,1,0)</f>
        <v>46337</v>
      </c>
      <c r="G144" s="11">
        <f t="shared" si="84"/>
        <v>46337</v>
      </c>
      <c r="H144" s="66"/>
    </row>
    <row r="145" spans="3:8" ht="15.75" customHeight="1" x14ac:dyDescent="0.3">
      <c r="C145" s="15" t="s">
        <v>42</v>
      </c>
      <c r="D145" s="12"/>
      <c r="E145" s="5">
        <v>1</v>
      </c>
      <c r="F145" s="11">
        <f>WORKDAY(F144,0,0)</f>
        <v>46337</v>
      </c>
      <c r="G145" s="11">
        <f t="shared" si="84"/>
        <v>46337</v>
      </c>
      <c r="H145" s="66"/>
    </row>
    <row r="146" spans="3:8" ht="15.75" customHeight="1" x14ac:dyDescent="0.3">
      <c r="C146" s="15" t="s">
        <v>43</v>
      </c>
      <c r="D146" s="12"/>
      <c r="E146" s="5">
        <v>1</v>
      </c>
      <c r="F146" s="11">
        <f>WORKDAY(G144,0,0)</f>
        <v>46337</v>
      </c>
      <c r="G146" s="11">
        <f t="shared" si="84"/>
        <v>46337</v>
      </c>
      <c r="H146" s="66"/>
    </row>
    <row r="147" spans="3:8" s="8" customFormat="1" x14ac:dyDescent="0.3">
      <c r="C147" s="36" t="s">
        <v>13</v>
      </c>
      <c r="D147" s="55"/>
      <c r="E147" s="56">
        <f>G147-F147</f>
        <v>8</v>
      </c>
      <c r="F147" s="47">
        <f>F38</f>
        <v>46324</v>
      </c>
      <c r="G147" s="47">
        <f>G155</f>
        <v>46332</v>
      </c>
      <c r="H147" s="66"/>
    </row>
    <row r="148" spans="3:8" ht="15.75" customHeight="1" x14ac:dyDescent="0.3">
      <c r="C148" s="15" t="s">
        <v>36</v>
      </c>
      <c r="D148" s="12"/>
      <c r="E148" s="5">
        <v>1</v>
      </c>
      <c r="F148" s="11">
        <f>F147</f>
        <v>46324</v>
      </c>
      <c r="G148" s="11">
        <f t="shared" ref="G148:G155" si="86">WORKDAY(F148,E148-1,0)</f>
        <v>46324</v>
      </c>
      <c r="H148" s="66"/>
    </row>
    <row r="149" spans="3:8" ht="15.75" customHeight="1" x14ac:dyDescent="0.3">
      <c r="C149" s="15" t="s">
        <v>37</v>
      </c>
      <c r="D149" s="12"/>
      <c r="E149" s="5">
        <v>1</v>
      </c>
      <c r="F149" s="11">
        <f>F148</f>
        <v>46324</v>
      </c>
      <c r="G149" s="11">
        <f t="shared" si="86"/>
        <v>46324</v>
      </c>
      <c r="H149" s="66"/>
    </row>
    <row r="150" spans="3:8" ht="15.75" customHeight="1" x14ac:dyDescent="0.3">
      <c r="C150" s="15" t="s">
        <v>38</v>
      </c>
      <c r="D150" s="12"/>
      <c r="E150" s="5">
        <v>2</v>
      </c>
      <c r="F150" s="11">
        <f>WORKDAY(G149,1,0)</f>
        <v>46325</v>
      </c>
      <c r="G150" s="11">
        <f t="shared" si="86"/>
        <v>46328</v>
      </c>
      <c r="H150" s="66"/>
    </row>
    <row r="151" spans="3:8" ht="15.75" customHeight="1" x14ac:dyDescent="0.3">
      <c r="C151" s="15" t="s">
        <v>40</v>
      </c>
      <c r="D151" s="12"/>
      <c r="E151" s="5">
        <v>2</v>
      </c>
      <c r="F151" s="11">
        <f>WORKDAY(G150,1,0)</f>
        <v>46329</v>
      </c>
      <c r="G151" s="11">
        <f t="shared" si="86"/>
        <v>46330</v>
      </c>
      <c r="H151" s="66"/>
    </row>
    <row r="152" spans="3:8" ht="15.75" customHeight="1" x14ac:dyDescent="0.3">
      <c r="C152" s="15" t="s">
        <v>39</v>
      </c>
      <c r="D152" s="12"/>
      <c r="E152" s="5">
        <v>3</v>
      </c>
      <c r="F152" s="11">
        <f>F151</f>
        <v>46329</v>
      </c>
      <c r="G152" s="11">
        <f t="shared" si="86"/>
        <v>46331</v>
      </c>
      <c r="H152" s="66"/>
    </row>
    <row r="153" spans="3:8" ht="15.75" customHeight="1" x14ac:dyDescent="0.3">
      <c r="C153" s="15" t="s">
        <v>41</v>
      </c>
      <c r="D153" s="12"/>
      <c r="E153" s="5">
        <v>1</v>
      </c>
      <c r="F153" s="11">
        <f t="shared" ref="F153" si="87">WORKDAY(G152,1,0)</f>
        <v>46332</v>
      </c>
      <c r="G153" s="11">
        <f t="shared" si="86"/>
        <v>46332</v>
      </c>
      <c r="H153" s="66"/>
    </row>
    <row r="154" spans="3:8" ht="15.75" customHeight="1" x14ac:dyDescent="0.3">
      <c r="C154" s="15" t="s">
        <v>42</v>
      </c>
      <c r="D154" s="12"/>
      <c r="E154" s="5">
        <v>1</v>
      </c>
      <c r="F154" s="11">
        <f>WORKDAY(F153,0,0)</f>
        <v>46332</v>
      </c>
      <c r="G154" s="11">
        <f t="shared" si="86"/>
        <v>46332</v>
      </c>
      <c r="H154" s="66"/>
    </row>
    <row r="155" spans="3:8" ht="15.75" customHeight="1" x14ac:dyDescent="0.3">
      <c r="C155" s="15" t="s">
        <v>43</v>
      </c>
      <c r="D155" s="12"/>
      <c r="E155" s="5">
        <v>1</v>
      </c>
      <c r="F155" s="11">
        <f>WORKDAY(G153,0,0)</f>
        <v>46332</v>
      </c>
      <c r="G155" s="11">
        <f t="shared" si="86"/>
        <v>46332</v>
      </c>
      <c r="H155" s="66"/>
    </row>
    <row r="156" spans="3:8" s="8" customFormat="1" x14ac:dyDescent="0.3">
      <c r="C156" s="36" t="s">
        <v>14</v>
      </c>
      <c r="D156" s="55"/>
      <c r="E156" s="56">
        <f>G156-F156</f>
        <v>13</v>
      </c>
      <c r="F156" s="47">
        <f>F39</f>
        <v>46324</v>
      </c>
      <c r="G156" s="47">
        <f>G164</f>
        <v>46337</v>
      </c>
      <c r="H156" s="66"/>
    </row>
    <row r="157" spans="3:8" ht="15.75" customHeight="1" x14ac:dyDescent="0.3">
      <c r="C157" s="15" t="s">
        <v>36</v>
      </c>
      <c r="D157" s="12"/>
      <c r="E157" s="5">
        <v>1</v>
      </c>
      <c r="F157" s="11">
        <f>F156</f>
        <v>46324</v>
      </c>
      <c r="G157" s="11">
        <f t="shared" ref="G157:G164" si="88">WORKDAY(F157,E157-1,0)</f>
        <v>46324</v>
      </c>
      <c r="H157" s="66"/>
    </row>
    <row r="158" spans="3:8" ht="15.75" customHeight="1" x14ac:dyDescent="0.3">
      <c r="C158" s="15" t="s">
        <v>37</v>
      </c>
      <c r="D158" s="12"/>
      <c r="E158" s="5">
        <v>1</v>
      </c>
      <c r="F158" s="11">
        <f>F157</f>
        <v>46324</v>
      </c>
      <c r="G158" s="11">
        <f t="shared" si="88"/>
        <v>46324</v>
      </c>
      <c r="H158" s="66"/>
    </row>
    <row r="159" spans="3:8" ht="15.75" customHeight="1" x14ac:dyDescent="0.3">
      <c r="C159" s="15" t="s">
        <v>38</v>
      </c>
      <c r="D159" s="12"/>
      <c r="E159" s="5">
        <v>2</v>
      </c>
      <c r="F159" s="11">
        <f>WORKDAY(G158,1,0)</f>
        <v>46325</v>
      </c>
      <c r="G159" s="11">
        <f t="shared" si="88"/>
        <v>46328</v>
      </c>
      <c r="H159" s="66"/>
    </row>
    <row r="160" spans="3:8" ht="15.75" customHeight="1" x14ac:dyDescent="0.3">
      <c r="C160" s="15" t="s">
        <v>40</v>
      </c>
      <c r="D160" s="12"/>
      <c r="E160" s="5">
        <v>2</v>
      </c>
      <c r="F160" s="11">
        <f>F153</f>
        <v>46332</v>
      </c>
      <c r="G160" s="11">
        <f t="shared" si="88"/>
        <v>46335</v>
      </c>
      <c r="H160" s="66"/>
    </row>
    <row r="161" spans="3:8" ht="15.75" customHeight="1" x14ac:dyDescent="0.3">
      <c r="C161" s="15" t="s">
        <v>39</v>
      </c>
      <c r="D161" s="12"/>
      <c r="E161" s="5">
        <v>3</v>
      </c>
      <c r="F161" s="11">
        <f>F160</f>
        <v>46332</v>
      </c>
      <c r="G161" s="11">
        <f t="shared" si="88"/>
        <v>46336</v>
      </c>
      <c r="H161" s="66"/>
    </row>
    <row r="162" spans="3:8" ht="15.75" customHeight="1" x14ac:dyDescent="0.3">
      <c r="C162" s="15" t="s">
        <v>41</v>
      </c>
      <c r="D162" s="12"/>
      <c r="E162" s="5">
        <v>1</v>
      </c>
      <c r="F162" s="11">
        <f t="shared" ref="F162" si="89">WORKDAY(G161,1,0)</f>
        <v>46337</v>
      </c>
      <c r="G162" s="11">
        <f t="shared" si="88"/>
        <v>46337</v>
      </c>
      <c r="H162" s="66"/>
    </row>
    <row r="163" spans="3:8" ht="15.75" customHeight="1" x14ac:dyDescent="0.3">
      <c r="C163" s="15" t="s">
        <v>42</v>
      </c>
      <c r="D163" s="12"/>
      <c r="E163" s="5">
        <v>1</v>
      </c>
      <c r="F163" s="11">
        <f>WORKDAY(F162,0,0)</f>
        <v>46337</v>
      </c>
      <c r="G163" s="11">
        <f t="shared" si="88"/>
        <v>46337</v>
      </c>
      <c r="H163" s="66"/>
    </row>
    <row r="164" spans="3:8" ht="15.75" customHeight="1" x14ac:dyDescent="0.3">
      <c r="C164" s="15" t="s">
        <v>43</v>
      </c>
      <c r="D164" s="12"/>
      <c r="E164" s="5">
        <v>1</v>
      </c>
      <c r="F164" s="11">
        <f>WORKDAY(G162,0,0)</f>
        <v>46337</v>
      </c>
      <c r="G164" s="11">
        <f t="shared" si="88"/>
        <v>46337</v>
      </c>
      <c r="H164" s="67"/>
    </row>
    <row r="165" spans="3:8" s="8" customFormat="1" x14ac:dyDescent="0.3">
      <c r="C165" s="36" t="s">
        <v>15</v>
      </c>
      <c r="D165" s="55"/>
      <c r="E165" s="56">
        <f>G165-F165</f>
        <v>8</v>
      </c>
      <c r="F165" s="47">
        <f>F40</f>
        <v>46338</v>
      </c>
      <c r="G165" s="47">
        <f>G173</f>
        <v>46346</v>
      </c>
      <c r="H165" s="65">
        <v>4</v>
      </c>
    </row>
    <row r="166" spans="3:8" ht="15.75" customHeight="1" x14ac:dyDescent="0.3">
      <c r="C166" s="15" t="s">
        <v>36</v>
      </c>
      <c r="D166" s="12"/>
      <c r="E166" s="5">
        <v>1</v>
      </c>
      <c r="F166" s="11">
        <f>F165</f>
        <v>46338</v>
      </c>
      <c r="G166" s="11">
        <f t="shared" ref="G166:G173" si="90">WORKDAY(F166,E166-1,0)</f>
        <v>46338</v>
      </c>
      <c r="H166" s="66"/>
    </row>
    <row r="167" spans="3:8" ht="15.75" customHeight="1" x14ac:dyDescent="0.3">
      <c r="C167" s="15" t="s">
        <v>37</v>
      </c>
      <c r="D167" s="12"/>
      <c r="E167" s="5">
        <v>1</v>
      </c>
      <c r="F167" s="11">
        <f>F166</f>
        <v>46338</v>
      </c>
      <c r="G167" s="11">
        <f t="shared" si="90"/>
        <v>46338</v>
      </c>
      <c r="H167" s="66"/>
    </row>
    <row r="168" spans="3:8" ht="15.75" customHeight="1" x14ac:dyDescent="0.3">
      <c r="C168" s="15" t="s">
        <v>38</v>
      </c>
      <c r="D168" s="12"/>
      <c r="E168" s="5">
        <v>2</v>
      </c>
      <c r="F168" s="11">
        <f>WORKDAY(G167,1,0)</f>
        <v>46339</v>
      </c>
      <c r="G168" s="11">
        <f t="shared" si="90"/>
        <v>46342</v>
      </c>
      <c r="H168" s="66"/>
    </row>
    <row r="169" spans="3:8" ht="15.75" customHeight="1" x14ac:dyDescent="0.3">
      <c r="C169" s="15" t="s">
        <v>40</v>
      </c>
      <c r="D169" s="12"/>
      <c r="E169" s="5">
        <v>2</v>
      </c>
      <c r="F169" s="11">
        <f>WORKDAY(G168,1,0)</f>
        <v>46343</v>
      </c>
      <c r="G169" s="11">
        <f t="shared" si="90"/>
        <v>46344</v>
      </c>
      <c r="H169" s="66"/>
    </row>
    <row r="170" spans="3:8" ht="15.75" customHeight="1" x14ac:dyDescent="0.3">
      <c r="C170" s="15" t="s">
        <v>39</v>
      </c>
      <c r="D170" s="12"/>
      <c r="E170" s="5">
        <v>3</v>
      </c>
      <c r="F170" s="11">
        <f>F169</f>
        <v>46343</v>
      </c>
      <c r="G170" s="11">
        <f t="shared" si="90"/>
        <v>46345</v>
      </c>
      <c r="H170" s="66"/>
    </row>
    <row r="171" spans="3:8" ht="15.75" customHeight="1" x14ac:dyDescent="0.3">
      <c r="C171" s="15" t="s">
        <v>41</v>
      </c>
      <c r="D171" s="12"/>
      <c r="E171" s="5">
        <v>1</v>
      </c>
      <c r="F171" s="11">
        <f t="shared" ref="F171" si="91">WORKDAY(G170,1,0)</f>
        <v>46346</v>
      </c>
      <c r="G171" s="11">
        <f t="shared" si="90"/>
        <v>46346</v>
      </c>
      <c r="H171" s="66"/>
    </row>
    <row r="172" spans="3:8" ht="15.75" customHeight="1" x14ac:dyDescent="0.3">
      <c r="C172" s="15" t="s">
        <v>42</v>
      </c>
      <c r="D172" s="12"/>
      <c r="E172" s="5">
        <v>1</v>
      </c>
      <c r="F172" s="11">
        <f>WORKDAY(F171,0,0)</f>
        <v>46346</v>
      </c>
      <c r="G172" s="11">
        <f t="shared" si="90"/>
        <v>46346</v>
      </c>
      <c r="H172" s="66"/>
    </row>
    <row r="173" spans="3:8" ht="15.75" customHeight="1" x14ac:dyDescent="0.3">
      <c r="C173" s="15" t="s">
        <v>43</v>
      </c>
      <c r="D173" s="12"/>
      <c r="E173" s="5">
        <v>1</v>
      </c>
      <c r="F173" s="11">
        <f>WORKDAY(G171,0,0)</f>
        <v>46346</v>
      </c>
      <c r="G173" s="11">
        <f t="shared" si="90"/>
        <v>46346</v>
      </c>
      <c r="H173" s="66"/>
    </row>
    <row r="174" spans="3:8" s="8" customFormat="1" x14ac:dyDescent="0.3">
      <c r="C174" s="36" t="s">
        <v>16</v>
      </c>
      <c r="D174" s="55"/>
      <c r="E174" s="56">
        <f>G174-F174</f>
        <v>13</v>
      </c>
      <c r="F174" s="47">
        <f>F41</f>
        <v>46338</v>
      </c>
      <c r="G174" s="47">
        <f>G182</f>
        <v>46351</v>
      </c>
      <c r="H174" s="66"/>
    </row>
    <row r="175" spans="3:8" ht="15.75" customHeight="1" x14ac:dyDescent="0.3">
      <c r="C175" s="15" t="s">
        <v>36</v>
      </c>
      <c r="D175" s="12"/>
      <c r="E175" s="5">
        <v>1</v>
      </c>
      <c r="F175" s="11">
        <f>F174</f>
        <v>46338</v>
      </c>
      <c r="G175" s="11">
        <f t="shared" ref="G175:G182" si="92">WORKDAY(F175,E175-1,0)</f>
        <v>46338</v>
      </c>
      <c r="H175" s="66"/>
    </row>
    <row r="176" spans="3:8" ht="15.75" customHeight="1" x14ac:dyDescent="0.3">
      <c r="C176" s="15" t="s">
        <v>37</v>
      </c>
      <c r="D176" s="12"/>
      <c r="E176" s="5">
        <v>1</v>
      </c>
      <c r="F176" s="11">
        <f>F175</f>
        <v>46338</v>
      </c>
      <c r="G176" s="11">
        <f t="shared" si="92"/>
        <v>46338</v>
      </c>
      <c r="H176" s="66"/>
    </row>
    <row r="177" spans="3:8" ht="15.75" customHeight="1" x14ac:dyDescent="0.3">
      <c r="C177" s="15" t="s">
        <v>38</v>
      </c>
      <c r="D177" s="12"/>
      <c r="E177" s="5">
        <v>2</v>
      </c>
      <c r="F177" s="11">
        <f>WORKDAY(G176,1,0)</f>
        <v>46339</v>
      </c>
      <c r="G177" s="11">
        <f t="shared" si="92"/>
        <v>46342</v>
      </c>
      <c r="H177" s="66"/>
    </row>
    <row r="178" spans="3:8" ht="15.75" customHeight="1" x14ac:dyDescent="0.3">
      <c r="C178" s="15" t="s">
        <v>40</v>
      </c>
      <c r="D178" s="12"/>
      <c r="E178" s="5">
        <v>2</v>
      </c>
      <c r="F178" s="11">
        <f>F171</f>
        <v>46346</v>
      </c>
      <c r="G178" s="11">
        <f t="shared" si="92"/>
        <v>46349</v>
      </c>
      <c r="H178" s="66"/>
    </row>
    <row r="179" spans="3:8" ht="15.75" customHeight="1" x14ac:dyDescent="0.3">
      <c r="C179" s="15" t="s">
        <v>39</v>
      </c>
      <c r="D179" s="12"/>
      <c r="E179" s="5">
        <v>3</v>
      </c>
      <c r="F179" s="11">
        <f>F178</f>
        <v>46346</v>
      </c>
      <c r="G179" s="11">
        <f t="shared" si="92"/>
        <v>46350</v>
      </c>
      <c r="H179" s="66"/>
    </row>
    <row r="180" spans="3:8" ht="15.75" customHeight="1" x14ac:dyDescent="0.3">
      <c r="C180" s="15" t="s">
        <v>41</v>
      </c>
      <c r="D180" s="12"/>
      <c r="E180" s="5">
        <v>1</v>
      </c>
      <c r="F180" s="11">
        <f t="shared" ref="F180" si="93">WORKDAY(G179,1,0)</f>
        <v>46351</v>
      </c>
      <c r="G180" s="11">
        <f t="shared" si="92"/>
        <v>46351</v>
      </c>
      <c r="H180" s="66"/>
    </row>
    <row r="181" spans="3:8" ht="15.75" customHeight="1" x14ac:dyDescent="0.3">
      <c r="C181" s="15" t="s">
        <v>42</v>
      </c>
      <c r="D181" s="12"/>
      <c r="E181" s="5">
        <v>1</v>
      </c>
      <c r="F181" s="11">
        <f>WORKDAY(F180,0,0)</f>
        <v>46351</v>
      </c>
      <c r="G181" s="11">
        <f t="shared" si="92"/>
        <v>46351</v>
      </c>
      <c r="H181" s="66"/>
    </row>
    <row r="182" spans="3:8" ht="15.75" customHeight="1" x14ac:dyDescent="0.3">
      <c r="C182" s="15" t="s">
        <v>43</v>
      </c>
      <c r="D182" s="12"/>
      <c r="E182" s="5">
        <v>1</v>
      </c>
      <c r="F182" s="11">
        <f>WORKDAY(G180,0,0)</f>
        <v>46351</v>
      </c>
      <c r="G182" s="11">
        <f t="shared" si="92"/>
        <v>46351</v>
      </c>
      <c r="H182" s="66"/>
    </row>
    <row r="183" spans="3:8" x14ac:dyDescent="0.3">
      <c r="C183" s="36" t="s">
        <v>17</v>
      </c>
      <c r="D183" s="55"/>
      <c r="E183" s="56">
        <f>G183-F183</f>
        <v>8</v>
      </c>
      <c r="F183" s="47">
        <f>F42</f>
        <v>46338</v>
      </c>
      <c r="G183" s="47">
        <f>G191</f>
        <v>46346</v>
      </c>
      <c r="H183" s="66"/>
    </row>
    <row r="184" spans="3:8" ht="15.75" customHeight="1" x14ac:dyDescent="0.3">
      <c r="C184" s="15" t="s">
        <v>36</v>
      </c>
      <c r="D184" s="12"/>
      <c r="E184" s="5">
        <v>1</v>
      </c>
      <c r="F184" s="11">
        <f>F183</f>
        <v>46338</v>
      </c>
      <c r="G184" s="11">
        <f t="shared" ref="G184:G191" si="94">WORKDAY(F184,E184-1,0)</f>
        <v>46338</v>
      </c>
      <c r="H184" s="66"/>
    </row>
    <row r="185" spans="3:8" ht="15.75" customHeight="1" x14ac:dyDescent="0.3">
      <c r="C185" s="15" t="s">
        <v>37</v>
      </c>
      <c r="D185" s="12"/>
      <c r="E185" s="5">
        <v>1</v>
      </c>
      <c r="F185" s="11">
        <f>F184</f>
        <v>46338</v>
      </c>
      <c r="G185" s="11">
        <f t="shared" si="94"/>
        <v>46338</v>
      </c>
      <c r="H185" s="66"/>
    </row>
    <row r="186" spans="3:8" ht="15.75" customHeight="1" x14ac:dyDescent="0.3">
      <c r="C186" s="15" t="s">
        <v>38</v>
      </c>
      <c r="D186" s="12"/>
      <c r="E186" s="5">
        <v>2</v>
      </c>
      <c r="F186" s="11">
        <f>WORKDAY(G185,1,0)</f>
        <v>46339</v>
      </c>
      <c r="G186" s="11">
        <f t="shared" si="94"/>
        <v>46342</v>
      </c>
      <c r="H186" s="66"/>
    </row>
    <row r="187" spans="3:8" ht="15.75" customHeight="1" x14ac:dyDescent="0.3">
      <c r="C187" s="15" t="s">
        <v>40</v>
      </c>
      <c r="D187" s="12"/>
      <c r="E187" s="5">
        <v>2</v>
      </c>
      <c r="F187" s="11">
        <f>WORKDAY(G186,1,0)</f>
        <v>46343</v>
      </c>
      <c r="G187" s="11">
        <f t="shared" si="94"/>
        <v>46344</v>
      </c>
      <c r="H187" s="66"/>
    </row>
    <row r="188" spans="3:8" ht="15.75" customHeight="1" x14ac:dyDescent="0.3">
      <c r="C188" s="15" t="s">
        <v>39</v>
      </c>
      <c r="D188" s="12"/>
      <c r="E188" s="5">
        <v>3</v>
      </c>
      <c r="F188" s="11">
        <f>F187</f>
        <v>46343</v>
      </c>
      <c r="G188" s="11">
        <f t="shared" si="94"/>
        <v>46345</v>
      </c>
      <c r="H188" s="66"/>
    </row>
    <row r="189" spans="3:8" ht="15.75" customHeight="1" x14ac:dyDescent="0.3">
      <c r="C189" s="15" t="s">
        <v>41</v>
      </c>
      <c r="D189" s="12"/>
      <c r="E189" s="5">
        <v>1</v>
      </c>
      <c r="F189" s="11">
        <f t="shared" ref="F189" si="95">WORKDAY(G188,1,0)</f>
        <v>46346</v>
      </c>
      <c r="G189" s="11">
        <f t="shared" si="94"/>
        <v>46346</v>
      </c>
      <c r="H189" s="66"/>
    </row>
    <row r="190" spans="3:8" ht="15.75" customHeight="1" x14ac:dyDescent="0.3">
      <c r="C190" s="15" t="s">
        <v>42</v>
      </c>
      <c r="D190" s="12"/>
      <c r="E190" s="5">
        <v>1</v>
      </c>
      <c r="F190" s="11">
        <f>WORKDAY(F189,0,0)</f>
        <v>46346</v>
      </c>
      <c r="G190" s="11">
        <f t="shared" si="94"/>
        <v>46346</v>
      </c>
      <c r="H190" s="66"/>
    </row>
    <row r="191" spans="3:8" ht="15.75" customHeight="1" x14ac:dyDescent="0.3">
      <c r="C191" s="15" t="s">
        <v>43</v>
      </c>
      <c r="D191" s="12"/>
      <c r="E191" s="5">
        <v>1</v>
      </c>
      <c r="F191" s="11">
        <f>WORKDAY(G189,0,0)</f>
        <v>46346</v>
      </c>
      <c r="G191" s="11">
        <f t="shared" si="94"/>
        <v>46346</v>
      </c>
      <c r="H191" s="67"/>
    </row>
    <row r="192" spans="3:8" ht="15.75" customHeight="1" x14ac:dyDescent="0.3">
      <c r="C192" s="9" t="s">
        <v>31</v>
      </c>
      <c r="D192" s="12"/>
      <c r="E192" s="1"/>
      <c r="F192" s="3"/>
      <c r="G192" s="11"/>
      <c r="H192" s="54"/>
    </row>
    <row r="193" spans="3:8" s="8" customFormat="1" x14ac:dyDescent="0.3">
      <c r="C193" s="35" t="s">
        <v>18</v>
      </c>
      <c r="D193" s="51"/>
      <c r="E193" s="45"/>
      <c r="F193" s="46">
        <f>F44</f>
        <v>46296</v>
      </c>
      <c r="G193" s="46">
        <f>G201</f>
        <v>46304</v>
      </c>
      <c r="H193" s="65">
        <v>1</v>
      </c>
    </row>
    <row r="194" spans="3:8" ht="15.75" customHeight="1" x14ac:dyDescent="0.3">
      <c r="C194" s="15" t="s">
        <v>36</v>
      </c>
      <c r="D194" s="12"/>
      <c r="E194" s="5">
        <v>1</v>
      </c>
      <c r="F194" s="11">
        <f>F193</f>
        <v>46296</v>
      </c>
      <c r="G194" s="11">
        <f t="shared" ref="G194:G201" si="96">WORKDAY(F194,E194-1,0)</f>
        <v>46296</v>
      </c>
      <c r="H194" s="66"/>
    </row>
    <row r="195" spans="3:8" ht="15.75" customHeight="1" x14ac:dyDescent="0.3">
      <c r="C195" s="15" t="s">
        <v>37</v>
      </c>
      <c r="D195" s="12"/>
      <c r="E195" s="5">
        <v>1</v>
      </c>
      <c r="F195" s="11">
        <f>F194</f>
        <v>46296</v>
      </c>
      <c r="G195" s="11">
        <f t="shared" si="96"/>
        <v>46296</v>
      </c>
      <c r="H195" s="66"/>
    </row>
    <row r="196" spans="3:8" ht="15.75" customHeight="1" x14ac:dyDescent="0.3">
      <c r="C196" s="15" t="s">
        <v>38</v>
      </c>
      <c r="D196" s="12"/>
      <c r="E196" s="5">
        <v>2</v>
      </c>
      <c r="F196" s="11">
        <f>WORKDAY(G195,1,0)</f>
        <v>46297</v>
      </c>
      <c r="G196" s="11">
        <f t="shared" si="96"/>
        <v>46300</v>
      </c>
      <c r="H196" s="66"/>
    </row>
    <row r="197" spans="3:8" ht="15.75" customHeight="1" x14ac:dyDescent="0.3">
      <c r="C197" s="15" t="s">
        <v>40</v>
      </c>
      <c r="D197" s="12"/>
      <c r="E197" s="5">
        <v>2</v>
      </c>
      <c r="F197" s="11">
        <f>WORKDAY(G196,1,0)</f>
        <v>46301</v>
      </c>
      <c r="G197" s="11">
        <f t="shared" si="96"/>
        <v>46302</v>
      </c>
      <c r="H197" s="66"/>
    </row>
    <row r="198" spans="3:8" ht="15.75" customHeight="1" x14ac:dyDescent="0.3">
      <c r="C198" s="15" t="s">
        <v>39</v>
      </c>
      <c r="D198" s="12"/>
      <c r="E198" s="5">
        <v>3</v>
      </c>
      <c r="F198" s="11">
        <f>F197</f>
        <v>46301</v>
      </c>
      <c r="G198" s="11">
        <f t="shared" si="96"/>
        <v>46303</v>
      </c>
      <c r="H198" s="66"/>
    </row>
    <row r="199" spans="3:8" ht="15.75" customHeight="1" x14ac:dyDescent="0.3">
      <c r="C199" s="15" t="s">
        <v>41</v>
      </c>
      <c r="D199" s="12"/>
      <c r="E199" s="5">
        <v>1</v>
      </c>
      <c r="F199" s="11">
        <f t="shared" ref="F199" si="97">WORKDAY(G198,1,0)</f>
        <v>46304</v>
      </c>
      <c r="G199" s="11">
        <f t="shared" si="96"/>
        <v>46304</v>
      </c>
      <c r="H199" s="66"/>
    </row>
    <row r="200" spans="3:8" ht="15.75" customHeight="1" x14ac:dyDescent="0.3">
      <c r="C200" s="15" t="s">
        <v>42</v>
      </c>
      <c r="D200" s="12"/>
      <c r="E200" s="5">
        <v>1</v>
      </c>
      <c r="F200" s="11">
        <f>WORKDAY(F199,0,0)</f>
        <v>46304</v>
      </c>
      <c r="G200" s="11">
        <f t="shared" si="96"/>
        <v>46304</v>
      </c>
      <c r="H200" s="66"/>
    </row>
    <row r="201" spans="3:8" ht="15.75" customHeight="1" x14ac:dyDescent="0.3">
      <c r="C201" s="15" t="s">
        <v>43</v>
      </c>
      <c r="D201" s="12"/>
      <c r="E201" s="5">
        <v>1</v>
      </c>
      <c r="F201" s="11">
        <f>WORKDAY(G199,0,0)</f>
        <v>46304</v>
      </c>
      <c r="G201" s="11">
        <f t="shared" si="96"/>
        <v>46304</v>
      </c>
      <c r="H201" s="66"/>
    </row>
    <row r="202" spans="3:8" s="8" customFormat="1" x14ac:dyDescent="0.3">
      <c r="C202" s="35" t="s">
        <v>19</v>
      </c>
      <c r="D202" s="51"/>
      <c r="E202" s="45"/>
      <c r="F202" s="53">
        <f>F45</f>
        <v>46296</v>
      </c>
      <c r="G202" s="53">
        <f>G210</f>
        <v>46309</v>
      </c>
      <c r="H202" s="66"/>
    </row>
    <row r="203" spans="3:8" ht="15.75" customHeight="1" x14ac:dyDescent="0.3">
      <c r="C203" s="15" t="s">
        <v>36</v>
      </c>
      <c r="D203" s="12"/>
      <c r="E203" s="5">
        <v>1</v>
      </c>
      <c r="F203" s="11">
        <f>F202</f>
        <v>46296</v>
      </c>
      <c r="G203" s="11">
        <f t="shared" ref="G203:G210" si="98">WORKDAY(F203,E203-1,0)</f>
        <v>46296</v>
      </c>
      <c r="H203" s="66"/>
    </row>
    <row r="204" spans="3:8" ht="15.75" customHeight="1" x14ac:dyDescent="0.3">
      <c r="C204" s="15" t="s">
        <v>37</v>
      </c>
      <c r="D204" s="12"/>
      <c r="E204" s="5">
        <v>1</v>
      </c>
      <c r="F204" s="11">
        <f>F203</f>
        <v>46296</v>
      </c>
      <c r="G204" s="11">
        <f t="shared" si="98"/>
        <v>46296</v>
      </c>
      <c r="H204" s="66"/>
    </row>
    <row r="205" spans="3:8" ht="15.75" customHeight="1" x14ac:dyDescent="0.3">
      <c r="C205" s="15" t="s">
        <v>38</v>
      </c>
      <c r="D205" s="12"/>
      <c r="E205" s="5">
        <v>2</v>
      </c>
      <c r="F205" s="11">
        <f>WORKDAY(G204,1,0)</f>
        <v>46297</v>
      </c>
      <c r="G205" s="11">
        <f t="shared" si="98"/>
        <v>46300</v>
      </c>
      <c r="H205" s="66"/>
    </row>
    <row r="206" spans="3:8" ht="15.75" customHeight="1" x14ac:dyDescent="0.3">
      <c r="C206" s="15" t="s">
        <v>40</v>
      </c>
      <c r="D206" s="12"/>
      <c r="E206" s="5">
        <v>2</v>
      </c>
      <c r="F206" s="11">
        <f>F199</f>
        <v>46304</v>
      </c>
      <c r="G206" s="11">
        <f t="shared" si="98"/>
        <v>46307</v>
      </c>
      <c r="H206" s="66"/>
    </row>
    <row r="207" spans="3:8" ht="15.75" customHeight="1" x14ac:dyDescent="0.3">
      <c r="C207" s="15" t="s">
        <v>39</v>
      </c>
      <c r="D207" s="12"/>
      <c r="E207" s="5">
        <v>3</v>
      </c>
      <c r="F207" s="11">
        <f>F206</f>
        <v>46304</v>
      </c>
      <c r="G207" s="11">
        <f t="shared" si="98"/>
        <v>46308</v>
      </c>
      <c r="H207" s="66"/>
    </row>
    <row r="208" spans="3:8" ht="15.75" customHeight="1" x14ac:dyDescent="0.3">
      <c r="C208" s="15" t="s">
        <v>41</v>
      </c>
      <c r="D208" s="12"/>
      <c r="E208" s="5">
        <v>1</v>
      </c>
      <c r="F208" s="11">
        <f t="shared" ref="F208" si="99">WORKDAY(G207,1,0)</f>
        <v>46309</v>
      </c>
      <c r="G208" s="11">
        <f t="shared" si="98"/>
        <v>46309</v>
      </c>
      <c r="H208" s="66"/>
    </row>
    <row r="209" spans="3:8" ht="15.75" customHeight="1" x14ac:dyDescent="0.3">
      <c r="C209" s="15" t="s">
        <v>42</v>
      </c>
      <c r="D209" s="12"/>
      <c r="E209" s="5">
        <v>1</v>
      </c>
      <c r="F209" s="11">
        <f>WORKDAY(F208,0,0)</f>
        <v>46309</v>
      </c>
      <c r="G209" s="11">
        <f t="shared" si="98"/>
        <v>46309</v>
      </c>
      <c r="H209" s="66"/>
    </row>
    <row r="210" spans="3:8" ht="15.75" customHeight="1" x14ac:dyDescent="0.3">
      <c r="C210" s="15" t="s">
        <v>43</v>
      </c>
      <c r="D210" s="12"/>
      <c r="E210" s="5">
        <v>1</v>
      </c>
      <c r="F210" s="11">
        <f>WORKDAY(G208,0,0)</f>
        <v>46309</v>
      </c>
      <c r="G210" s="11">
        <f t="shared" si="98"/>
        <v>46309</v>
      </c>
      <c r="H210" s="66"/>
    </row>
    <row r="211" spans="3:8" s="8" customFormat="1" x14ac:dyDescent="0.3">
      <c r="C211" s="35" t="s">
        <v>20</v>
      </c>
      <c r="D211" s="51"/>
      <c r="E211" s="52"/>
      <c r="F211" s="53">
        <f>F46</f>
        <v>46296</v>
      </c>
      <c r="G211" s="53">
        <f>G219</f>
        <v>46304</v>
      </c>
      <c r="H211" s="66"/>
    </row>
    <row r="212" spans="3:8" ht="15.75" customHeight="1" x14ac:dyDescent="0.3">
      <c r="C212" s="15" t="s">
        <v>36</v>
      </c>
      <c r="D212" s="12"/>
      <c r="E212" s="5">
        <v>1</v>
      </c>
      <c r="F212" s="11">
        <f>F211</f>
        <v>46296</v>
      </c>
      <c r="G212" s="11">
        <f t="shared" ref="G212:G219" si="100">WORKDAY(F212,E212-1,0)</f>
        <v>46296</v>
      </c>
      <c r="H212" s="66"/>
    </row>
    <row r="213" spans="3:8" ht="15.75" customHeight="1" x14ac:dyDescent="0.3">
      <c r="C213" s="15" t="s">
        <v>37</v>
      </c>
      <c r="D213" s="12"/>
      <c r="E213" s="5">
        <v>1</v>
      </c>
      <c r="F213" s="11">
        <f>F212</f>
        <v>46296</v>
      </c>
      <c r="G213" s="11">
        <f t="shared" si="100"/>
        <v>46296</v>
      </c>
      <c r="H213" s="66"/>
    </row>
    <row r="214" spans="3:8" ht="15.75" customHeight="1" x14ac:dyDescent="0.3">
      <c r="C214" s="15" t="s">
        <v>38</v>
      </c>
      <c r="D214" s="12"/>
      <c r="E214" s="5">
        <v>2</v>
      </c>
      <c r="F214" s="11">
        <f>WORKDAY(G213,1,0)</f>
        <v>46297</v>
      </c>
      <c r="G214" s="11">
        <f t="shared" si="100"/>
        <v>46300</v>
      </c>
      <c r="H214" s="66"/>
    </row>
    <row r="215" spans="3:8" ht="15.75" customHeight="1" x14ac:dyDescent="0.3">
      <c r="C215" s="15" t="s">
        <v>40</v>
      </c>
      <c r="D215" s="12"/>
      <c r="E215" s="5">
        <v>2</v>
      </c>
      <c r="F215" s="11">
        <f>WORKDAY(G214,1,0)</f>
        <v>46301</v>
      </c>
      <c r="G215" s="11">
        <f t="shared" si="100"/>
        <v>46302</v>
      </c>
      <c r="H215" s="66"/>
    </row>
    <row r="216" spans="3:8" ht="15.75" customHeight="1" x14ac:dyDescent="0.3">
      <c r="C216" s="15" t="s">
        <v>39</v>
      </c>
      <c r="D216" s="12"/>
      <c r="E216" s="5">
        <v>3</v>
      </c>
      <c r="F216" s="11">
        <f>F215</f>
        <v>46301</v>
      </c>
      <c r="G216" s="11">
        <f t="shared" si="100"/>
        <v>46303</v>
      </c>
      <c r="H216" s="66"/>
    </row>
    <row r="217" spans="3:8" ht="15.75" customHeight="1" x14ac:dyDescent="0.3">
      <c r="C217" s="15" t="s">
        <v>41</v>
      </c>
      <c r="D217" s="12"/>
      <c r="E217" s="5">
        <v>1</v>
      </c>
      <c r="F217" s="11">
        <f t="shared" ref="F217" si="101">WORKDAY(G216,1,0)</f>
        <v>46304</v>
      </c>
      <c r="G217" s="11">
        <f t="shared" si="100"/>
        <v>46304</v>
      </c>
      <c r="H217" s="66"/>
    </row>
    <row r="218" spans="3:8" ht="15.75" customHeight="1" x14ac:dyDescent="0.3">
      <c r="C218" s="15" t="s">
        <v>42</v>
      </c>
      <c r="D218" s="12"/>
      <c r="E218" s="5">
        <v>1</v>
      </c>
      <c r="F218" s="11">
        <f>WORKDAY(F217,0,0)</f>
        <v>46304</v>
      </c>
      <c r="G218" s="11">
        <f t="shared" si="100"/>
        <v>46304</v>
      </c>
      <c r="H218" s="66"/>
    </row>
    <row r="219" spans="3:8" ht="15.75" customHeight="1" x14ac:dyDescent="0.3">
      <c r="C219" s="15" t="s">
        <v>43</v>
      </c>
      <c r="D219" s="12"/>
      <c r="E219" s="5">
        <v>1</v>
      </c>
      <c r="F219" s="11">
        <f>WORKDAY(G217,0,0)</f>
        <v>46304</v>
      </c>
      <c r="G219" s="11">
        <f t="shared" si="100"/>
        <v>46304</v>
      </c>
      <c r="H219" s="66"/>
    </row>
    <row r="220" spans="3:8" s="8" customFormat="1" x14ac:dyDescent="0.3">
      <c r="C220" s="35" t="s">
        <v>21</v>
      </c>
      <c r="D220" s="51"/>
      <c r="E220" s="52"/>
      <c r="F220" s="53">
        <f>F47</f>
        <v>46296</v>
      </c>
      <c r="G220" s="53">
        <f>G228</f>
        <v>46309</v>
      </c>
      <c r="H220" s="66"/>
    </row>
    <row r="221" spans="3:8" ht="15.75" customHeight="1" x14ac:dyDescent="0.3">
      <c r="C221" s="15" t="s">
        <v>36</v>
      </c>
      <c r="D221" s="12"/>
      <c r="E221" s="5">
        <v>1</v>
      </c>
      <c r="F221" s="11">
        <f>F220</f>
        <v>46296</v>
      </c>
      <c r="G221" s="11">
        <f t="shared" ref="G221:G228" si="102">WORKDAY(F221,E221-1,0)</f>
        <v>46296</v>
      </c>
      <c r="H221" s="66"/>
    </row>
    <row r="222" spans="3:8" ht="15.75" customHeight="1" x14ac:dyDescent="0.3">
      <c r="C222" s="15" t="s">
        <v>37</v>
      </c>
      <c r="D222" s="12"/>
      <c r="E222" s="5">
        <v>1</v>
      </c>
      <c r="F222" s="11">
        <f>F221</f>
        <v>46296</v>
      </c>
      <c r="G222" s="11">
        <f t="shared" si="102"/>
        <v>46296</v>
      </c>
      <c r="H222" s="66"/>
    </row>
    <row r="223" spans="3:8" ht="15.75" customHeight="1" x14ac:dyDescent="0.3">
      <c r="C223" s="15" t="s">
        <v>38</v>
      </c>
      <c r="D223" s="12"/>
      <c r="E223" s="5">
        <v>2</v>
      </c>
      <c r="F223" s="11">
        <f>WORKDAY(G222,1,0)</f>
        <v>46297</v>
      </c>
      <c r="G223" s="11">
        <f t="shared" si="102"/>
        <v>46300</v>
      </c>
      <c r="H223" s="66"/>
    </row>
    <row r="224" spans="3:8" ht="15.75" customHeight="1" x14ac:dyDescent="0.3">
      <c r="C224" s="15" t="s">
        <v>40</v>
      </c>
      <c r="D224" s="12"/>
      <c r="E224" s="5">
        <v>2</v>
      </c>
      <c r="F224" s="11">
        <f>F217</f>
        <v>46304</v>
      </c>
      <c r="G224" s="11">
        <f t="shared" si="102"/>
        <v>46307</v>
      </c>
      <c r="H224" s="66"/>
    </row>
    <row r="225" spans="3:8" ht="15.75" customHeight="1" x14ac:dyDescent="0.3">
      <c r="C225" s="15" t="s">
        <v>39</v>
      </c>
      <c r="D225" s="12"/>
      <c r="E225" s="5">
        <v>3</v>
      </c>
      <c r="F225" s="11">
        <f>F224</f>
        <v>46304</v>
      </c>
      <c r="G225" s="11">
        <f t="shared" si="102"/>
        <v>46308</v>
      </c>
      <c r="H225" s="66"/>
    </row>
    <row r="226" spans="3:8" ht="15.75" customHeight="1" x14ac:dyDescent="0.3">
      <c r="C226" s="15" t="s">
        <v>41</v>
      </c>
      <c r="D226" s="12"/>
      <c r="E226" s="5">
        <v>1</v>
      </c>
      <c r="F226" s="11">
        <f t="shared" ref="F226" si="103">WORKDAY(G225,1,0)</f>
        <v>46309</v>
      </c>
      <c r="G226" s="11">
        <f t="shared" si="102"/>
        <v>46309</v>
      </c>
      <c r="H226" s="66"/>
    </row>
    <row r="227" spans="3:8" ht="15.75" customHeight="1" x14ac:dyDescent="0.3">
      <c r="C227" s="15" t="s">
        <v>42</v>
      </c>
      <c r="D227" s="12"/>
      <c r="E227" s="5">
        <v>1</v>
      </c>
      <c r="F227" s="11">
        <f>WORKDAY(F226,0,0)</f>
        <v>46309</v>
      </c>
      <c r="G227" s="11">
        <f t="shared" si="102"/>
        <v>46309</v>
      </c>
      <c r="H227" s="66"/>
    </row>
    <row r="228" spans="3:8" ht="15.75" customHeight="1" x14ac:dyDescent="0.3">
      <c r="C228" s="15" t="s">
        <v>43</v>
      </c>
      <c r="D228" s="12"/>
      <c r="E228" s="5">
        <v>1</v>
      </c>
      <c r="F228" s="11">
        <f>WORKDAY(G226,0,0)</f>
        <v>46309</v>
      </c>
      <c r="G228" s="11">
        <f t="shared" si="102"/>
        <v>46309</v>
      </c>
      <c r="H228" s="67"/>
    </row>
    <row r="229" spans="3:8" s="8" customFormat="1" x14ac:dyDescent="0.3">
      <c r="C229" s="35" t="s">
        <v>22</v>
      </c>
      <c r="D229" s="51"/>
      <c r="E229" s="52">
        <v>36</v>
      </c>
      <c r="F229" s="53">
        <f>F48</f>
        <v>46310</v>
      </c>
      <c r="G229" s="53">
        <f>G237</f>
        <v>46318</v>
      </c>
      <c r="H229" s="65">
        <v>2</v>
      </c>
    </row>
    <row r="230" spans="3:8" ht="15.75" customHeight="1" x14ac:dyDescent="0.3">
      <c r="C230" s="15" t="s">
        <v>36</v>
      </c>
      <c r="D230" s="12"/>
      <c r="E230" s="5">
        <v>1</v>
      </c>
      <c r="F230" s="11">
        <f>F229</f>
        <v>46310</v>
      </c>
      <c r="G230" s="11">
        <f t="shared" ref="G230:G237" si="104">WORKDAY(F230,E230-1,0)</f>
        <v>46310</v>
      </c>
      <c r="H230" s="66"/>
    </row>
    <row r="231" spans="3:8" ht="15.75" customHeight="1" x14ac:dyDescent="0.3">
      <c r="C231" s="15" t="s">
        <v>37</v>
      </c>
      <c r="D231" s="12"/>
      <c r="E231" s="5">
        <v>1</v>
      </c>
      <c r="F231" s="11">
        <f>F230</f>
        <v>46310</v>
      </c>
      <c r="G231" s="11">
        <f t="shared" si="104"/>
        <v>46310</v>
      </c>
      <c r="H231" s="66"/>
    </row>
    <row r="232" spans="3:8" ht="15.75" customHeight="1" x14ac:dyDescent="0.3">
      <c r="C232" s="15" t="s">
        <v>38</v>
      </c>
      <c r="D232" s="12"/>
      <c r="E232" s="5">
        <v>2</v>
      </c>
      <c r="F232" s="11">
        <f>WORKDAY(G231,1,0)</f>
        <v>46311</v>
      </c>
      <c r="G232" s="11">
        <f t="shared" si="104"/>
        <v>46314</v>
      </c>
      <c r="H232" s="66"/>
    </row>
    <row r="233" spans="3:8" ht="15.75" customHeight="1" x14ac:dyDescent="0.3">
      <c r="C233" s="15" t="s">
        <v>40</v>
      </c>
      <c r="D233" s="12"/>
      <c r="E233" s="5">
        <v>2</v>
      </c>
      <c r="F233" s="11">
        <f>WORKDAY(G232,1,0)</f>
        <v>46315</v>
      </c>
      <c r="G233" s="11">
        <f t="shared" si="104"/>
        <v>46316</v>
      </c>
      <c r="H233" s="66"/>
    </row>
    <row r="234" spans="3:8" ht="15.75" customHeight="1" x14ac:dyDescent="0.3">
      <c r="C234" s="15" t="s">
        <v>39</v>
      </c>
      <c r="D234" s="12"/>
      <c r="E234" s="5">
        <v>3</v>
      </c>
      <c r="F234" s="11">
        <f>F233</f>
        <v>46315</v>
      </c>
      <c r="G234" s="11">
        <f t="shared" si="104"/>
        <v>46317</v>
      </c>
      <c r="H234" s="66"/>
    </row>
    <row r="235" spans="3:8" ht="15.75" customHeight="1" x14ac:dyDescent="0.3">
      <c r="C235" s="15" t="s">
        <v>41</v>
      </c>
      <c r="D235" s="12"/>
      <c r="E235" s="5">
        <v>1</v>
      </c>
      <c r="F235" s="11">
        <f t="shared" ref="F235" si="105">WORKDAY(G234,1,0)</f>
        <v>46318</v>
      </c>
      <c r="G235" s="11">
        <f t="shared" si="104"/>
        <v>46318</v>
      </c>
      <c r="H235" s="66"/>
    </row>
    <row r="236" spans="3:8" ht="15.75" customHeight="1" x14ac:dyDescent="0.3">
      <c r="C236" s="15" t="s">
        <v>42</v>
      </c>
      <c r="D236" s="12"/>
      <c r="E236" s="5">
        <v>1</v>
      </c>
      <c r="F236" s="11">
        <f>WORKDAY(F235,0,0)</f>
        <v>46318</v>
      </c>
      <c r="G236" s="11">
        <f t="shared" si="104"/>
        <v>46318</v>
      </c>
      <c r="H236" s="66"/>
    </row>
    <row r="237" spans="3:8" ht="15.75" customHeight="1" x14ac:dyDescent="0.3">
      <c r="C237" s="15" t="s">
        <v>43</v>
      </c>
      <c r="D237" s="12"/>
      <c r="E237" s="5">
        <v>1</v>
      </c>
      <c r="F237" s="11">
        <f>WORKDAY(G235,0,0)</f>
        <v>46318</v>
      </c>
      <c r="G237" s="11">
        <f t="shared" si="104"/>
        <v>46318</v>
      </c>
      <c r="H237" s="66"/>
    </row>
    <row r="238" spans="3:8" s="8" customFormat="1" x14ac:dyDescent="0.3">
      <c r="C238" s="35" t="s">
        <v>23</v>
      </c>
      <c r="D238" s="51"/>
      <c r="E238" s="52"/>
      <c r="F238" s="53">
        <f>F49</f>
        <v>46310</v>
      </c>
      <c r="G238" s="53">
        <f>G246</f>
        <v>46323</v>
      </c>
      <c r="H238" s="66"/>
    </row>
    <row r="239" spans="3:8" ht="15.75" customHeight="1" x14ac:dyDescent="0.3">
      <c r="C239" s="15" t="s">
        <v>36</v>
      </c>
      <c r="D239" s="12"/>
      <c r="E239" s="5">
        <v>1</v>
      </c>
      <c r="F239" s="11">
        <f>F238</f>
        <v>46310</v>
      </c>
      <c r="G239" s="11">
        <f t="shared" ref="G239:G246" si="106">WORKDAY(F239,E239-1,0)</f>
        <v>46310</v>
      </c>
      <c r="H239" s="66"/>
    </row>
    <row r="240" spans="3:8" ht="15.75" customHeight="1" x14ac:dyDescent="0.3">
      <c r="C240" s="15" t="s">
        <v>37</v>
      </c>
      <c r="D240" s="12"/>
      <c r="E240" s="5">
        <v>1</v>
      </c>
      <c r="F240" s="11">
        <f>F239</f>
        <v>46310</v>
      </c>
      <c r="G240" s="11">
        <f t="shared" si="106"/>
        <v>46310</v>
      </c>
      <c r="H240" s="66"/>
    </row>
    <row r="241" spans="3:8" ht="15.75" customHeight="1" x14ac:dyDescent="0.3">
      <c r="C241" s="15" t="s">
        <v>38</v>
      </c>
      <c r="D241" s="12"/>
      <c r="E241" s="5">
        <v>2</v>
      </c>
      <c r="F241" s="11">
        <f>WORKDAY(G240,1,0)</f>
        <v>46311</v>
      </c>
      <c r="G241" s="11">
        <f t="shared" si="106"/>
        <v>46314</v>
      </c>
      <c r="H241" s="66"/>
    </row>
    <row r="242" spans="3:8" ht="15.75" customHeight="1" x14ac:dyDescent="0.3">
      <c r="C242" s="15" t="s">
        <v>40</v>
      </c>
      <c r="D242" s="12"/>
      <c r="E242" s="5">
        <v>2</v>
      </c>
      <c r="F242" s="11">
        <f>F235</f>
        <v>46318</v>
      </c>
      <c r="G242" s="11">
        <f t="shared" si="106"/>
        <v>46321</v>
      </c>
      <c r="H242" s="66"/>
    </row>
    <row r="243" spans="3:8" ht="15.75" customHeight="1" x14ac:dyDescent="0.3">
      <c r="C243" s="15" t="s">
        <v>39</v>
      </c>
      <c r="D243" s="12"/>
      <c r="E243" s="5">
        <v>3</v>
      </c>
      <c r="F243" s="11">
        <f>F242</f>
        <v>46318</v>
      </c>
      <c r="G243" s="11">
        <f t="shared" si="106"/>
        <v>46322</v>
      </c>
      <c r="H243" s="66"/>
    </row>
    <row r="244" spans="3:8" ht="15.75" customHeight="1" x14ac:dyDescent="0.3">
      <c r="C244" s="15" t="s">
        <v>41</v>
      </c>
      <c r="D244" s="12"/>
      <c r="E244" s="5">
        <v>1</v>
      </c>
      <c r="F244" s="11">
        <f t="shared" ref="F244" si="107">WORKDAY(G243,1,0)</f>
        <v>46323</v>
      </c>
      <c r="G244" s="11">
        <f t="shared" si="106"/>
        <v>46323</v>
      </c>
      <c r="H244" s="66"/>
    </row>
    <row r="245" spans="3:8" ht="15.75" customHeight="1" x14ac:dyDescent="0.3">
      <c r="C245" s="15" t="s">
        <v>42</v>
      </c>
      <c r="D245" s="12"/>
      <c r="E245" s="5">
        <v>1</v>
      </c>
      <c r="F245" s="11">
        <f>WORKDAY(F244,0,0)</f>
        <v>46323</v>
      </c>
      <c r="G245" s="11">
        <f t="shared" si="106"/>
        <v>46323</v>
      </c>
      <c r="H245" s="66"/>
    </row>
    <row r="246" spans="3:8" ht="15.75" customHeight="1" x14ac:dyDescent="0.3">
      <c r="C246" s="15" t="s">
        <v>43</v>
      </c>
      <c r="D246" s="12"/>
      <c r="E246" s="5">
        <v>1</v>
      </c>
      <c r="F246" s="11">
        <f>WORKDAY(G244,0,0)</f>
        <v>46323</v>
      </c>
      <c r="G246" s="11">
        <f t="shared" si="106"/>
        <v>46323</v>
      </c>
      <c r="H246" s="66"/>
    </row>
    <row r="247" spans="3:8" x14ac:dyDescent="0.3">
      <c r="C247" s="37" t="s">
        <v>24</v>
      </c>
      <c r="D247" s="48"/>
      <c r="E247" s="49"/>
      <c r="F247" s="50">
        <f>F50</f>
        <v>46310</v>
      </c>
      <c r="G247" s="50">
        <f t="shared" si="1"/>
        <v>46309</v>
      </c>
      <c r="H247" s="66"/>
    </row>
    <row r="248" spans="3:8" ht="15.75" customHeight="1" x14ac:dyDescent="0.3">
      <c r="C248" s="15" t="s">
        <v>36</v>
      </c>
      <c r="D248" s="12"/>
      <c r="E248" s="5">
        <v>1</v>
      </c>
      <c r="F248" s="11">
        <f>F247</f>
        <v>46310</v>
      </c>
      <c r="G248" s="11">
        <f t="shared" ref="G248:G255" si="108">WORKDAY(F248,E248-1,0)</f>
        <v>46310</v>
      </c>
      <c r="H248" s="66"/>
    </row>
    <row r="249" spans="3:8" ht="15.75" customHeight="1" x14ac:dyDescent="0.3">
      <c r="C249" s="15" t="s">
        <v>37</v>
      </c>
      <c r="D249" s="12"/>
      <c r="E249" s="5">
        <v>1</v>
      </c>
      <c r="F249" s="11">
        <f>F248</f>
        <v>46310</v>
      </c>
      <c r="G249" s="11">
        <f t="shared" si="108"/>
        <v>46310</v>
      </c>
      <c r="H249" s="66"/>
    </row>
    <row r="250" spans="3:8" ht="15.75" customHeight="1" x14ac:dyDescent="0.3">
      <c r="C250" s="15" t="s">
        <v>38</v>
      </c>
      <c r="D250" s="12"/>
      <c r="E250" s="5">
        <v>2</v>
      </c>
      <c r="F250" s="11">
        <f>WORKDAY(G249,1,0)</f>
        <v>46311</v>
      </c>
      <c r="G250" s="11">
        <f t="shared" si="108"/>
        <v>46314</v>
      </c>
      <c r="H250" s="66"/>
    </row>
    <row r="251" spans="3:8" ht="15.75" customHeight="1" x14ac:dyDescent="0.3">
      <c r="C251" s="15" t="s">
        <v>40</v>
      </c>
      <c r="D251" s="12"/>
      <c r="E251" s="5">
        <v>2</v>
      </c>
      <c r="F251" s="11">
        <f>WORKDAY(G250,1,0)</f>
        <v>46315</v>
      </c>
      <c r="G251" s="11">
        <f t="shared" si="108"/>
        <v>46316</v>
      </c>
      <c r="H251" s="66"/>
    </row>
    <row r="252" spans="3:8" ht="15.75" customHeight="1" x14ac:dyDescent="0.3">
      <c r="C252" s="15" t="s">
        <v>39</v>
      </c>
      <c r="D252" s="12"/>
      <c r="E252" s="5">
        <v>3</v>
      </c>
      <c r="F252" s="11">
        <f>F251</f>
        <v>46315</v>
      </c>
      <c r="G252" s="11">
        <f t="shared" si="108"/>
        <v>46317</v>
      </c>
      <c r="H252" s="66"/>
    </row>
    <row r="253" spans="3:8" ht="15.75" customHeight="1" x14ac:dyDescent="0.3">
      <c r="C253" s="15" t="s">
        <v>41</v>
      </c>
      <c r="D253" s="12"/>
      <c r="E253" s="5">
        <v>1</v>
      </c>
      <c r="F253" s="11">
        <f t="shared" ref="F253" si="109">WORKDAY(G252,1,0)</f>
        <v>46318</v>
      </c>
      <c r="G253" s="11">
        <f t="shared" si="108"/>
        <v>46318</v>
      </c>
      <c r="H253" s="66"/>
    </row>
    <row r="254" spans="3:8" ht="15.75" customHeight="1" x14ac:dyDescent="0.3">
      <c r="C254" s="15" t="s">
        <v>42</v>
      </c>
      <c r="D254" s="12"/>
      <c r="E254" s="5">
        <v>1</v>
      </c>
      <c r="F254" s="11">
        <f>WORKDAY(F253,0,0)</f>
        <v>46318</v>
      </c>
      <c r="G254" s="11">
        <f t="shared" si="108"/>
        <v>46318</v>
      </c>
      <c r="H254" s="66"/>
    </row>
    <row r="255" spans="3:8" ht="15.75" customHeight="1" x14ac:dyDescent="0.3">
      <c r="C255" s="15" t="s">
        <v>43</v>
      </c>
      <c r="D255" s="12"/>
      <c r="E255" s="5">
        <v>1</v>
      </c>
      <c r="F255" s="11">
        <f>WORKDAY(G253,0,0)</f>
        <v>46318</v>
      </c>
      <c r="G255" s="11">
        <f t="shared" si="108"/>
        <v>46318</v>
      </c>
      <c r="H255" s="66"/>
    </row>
    <row r="256" spans="3:8" x14ac:dyDescent="0.3">
      <c r="C256" s="37" t="s">
        <v>25</v>
      </c>
      <c r="D256" s="48"/>
      <c r="E256" s="49">
        <v>39</v>
      </c>
      <c r="F256" s="50">
        <f>F51</f>
        <v>46310</v>
      </c>
      <c r="G256" s="50">
        <f>G264</f>
        <v>46323</v>
      </c>
      <c r="H256" s="66"/>
    </row>
    <row r="257" spans="3:8" ht="15.75" customHeight="1" x14ac:dyDescent="0.3">
      <c r="C257" s="15" t="s">
        <v>36</v>
      </c>
      <c r="D257" s="12"/>
      <c r="E257" s="5">
        <v>1</v>
      </c>
      <c r="F257" s="11">
        <f>F256</f>
        <v>46310</v>
      </c>
      <c r="G257" s="11">
        <f t="shared" ref="G257:G264" si="110">WORKDAY(F257,E257-1,0)</f>
        <v>46310</v>
      </c>
      <c r="H257" s="66"/>
    </row>
    <row r="258" spans="3:8" ht="15.75" customHeight="1" x14ac:dyDescent="0.3">
      <c r="C258" s="15" t="s">
        <v>37</v>
      </c>
      <c r="D258" s="12"/>
      <c r="E258" s="5">
        <v>1</v>
      </c>
      <c r="F258" s="11">
        <f>F257</f>
        <v>46310</v>
      </c>
      <c r="G258" s="11">
        <f t="shared" si="110"/>
        <v>46310</v>
      </c>
      <c r="H258" s="66"/>
    </row>
    <row r="259" spans="3:8" ht="15.75" customHeight="1" x14ac:dyDescent="0.3">
      <c r="C259" s="15" t="s">
        <v>38</v>
      </c>
      <c r="D259" s="12"/>
      <c r="E259" s="5">
        <v>2</v>
      </c>
      <c r="F259" s="11">
        <f>WORKDAY(G258,1,0)</f>
        <v>46311</v>
      </c>
      <c r="G259" s="11">
        <f t="shared" si="110"/>
        <v>46314</v>
      </c>
      <c r="H259" s="66"/>
    </row>
    <row r="260" spans="3:8" ht="15.75" customHeight="1" x14ac:dyDescent="0.3">
      <c r="C260" s="15" t="s">
        <v>40</v>
      </c>
      <c r="D260" s="12"/>
      <c r="E260" s="5">
        <v>2</v>
      </c>
      <c r="F260" s="11">
        <f>F253</f>
        <v>46318</v>
      </c>
      <c r="G260" s="11">
        <f t="shared" si="110"/>
        <v>46321</v>
      </c>
      <c r="H260" s="66"/>
    </row>
    <row r="261" spans="3:8" ht="15.75" customHeight="1" x14ac:dyDescent="0.3">
      <c r="C261" s="15" t="s">
        <v>39</v>
      </c>
      <c r="D261" s="12"/>
      <c r="E261" s="5">
        <v>3</v>
      </c>
      <c r="F261" s="11">
        <f>F260</f>
        <v>46318</v>
      </c>
      <c r="G261" s="11">
        <f t="shared" si="110"/>
        <v>46322</v>
      </c>
      <c r="H261" s="66"/>
    </row>
    <row r="262" spans="3:8" ht="15.75" customHeight="1" x14ac:dyDescent="0.3">
      <c r="C262" s="15" t="s">
        <v>41</v>
      </c>
      <c r="D262" s="12"/>
      <c r="E262" s="5">
        <v>1</v>
      </c>
      <c r="F262" s="11">
        <f t="shared" ref="F262" si="111">WORKDAY(G261,1,0)</f>
        <v>46323</v>
      </c>
      <c r="G262" s="11">
        <f t="shared" si="110"/>
        <v>46323</v>
      </c>
      <c r="H262" s="66"/>
    </row>
    <row r="263" spans="3:8" ht="15.75" customHeight="1" x14ac:dyDescent="0.3">
      <c r="C263" s="15" t="s">
        <v>42</v>
      </c>
      <c r="D263" s="12"/>
      <c r="E263" s="5">
        <v>1</v>
      </c>
      <c r="F263" s="11">
        <f>WORKDAY(F262,0,0)</f>
        <v>46323</v>
      </c>
      <c r="G263" s="11">
        <f t="shared" si="110"/>
        <v>46323</v>
      </c>
      <c r="H263" s="66"/>
    </row>
    <row r="264" spans="3:8" ht="15.75" customHeight="1" x14ac:dyDescent="0.3">
      <c r="C264" s="15" t="s">
        <v>43</v>
      </c>
      <c r="D264" s="12"/>
      <c r="E264" s="5">
        <v>1</v>
      </c>
      <c r="F264" s="11">
        <f>WORKDAY(G262,0,0)</f>
        <v>46323</v>
      </c>
      <c r="G264" s="11">
        <f t="shared" si="110"/>
        <v>46323</v>
      </c>
      <c r="H264" s="67"/>
    </row>
    <row r="265" spans="3:8" s="8" customFormat="1" x14ac:dyDescent="0.3">
      <c r="C265" s="37" t="s">
        <v>26</v>
      </c>
      <c r="D265" s="48"/>
      <c r="E265" s="49"/>
      <c r="F265" s="50">
        <f>F52</f>
        <v>46324</v>
      </c>
      <c r="G265" s="50">
        <f t="shared" si="1"/>
        <v>46323</v>
      </c>
      <c r="H265" s="65">
        <v>3</v>
      </c>
    </row>
    <row r="266" spans="3:8" ht="15.75" customHeight="1" x14ac:dyDescent="0.3">
      <c r="C266" s="15" t="s">
        <v>36</v>
      </c>
      <c r="D266" s="12"/>
      <c r="E266" s="5">
        <v>1</v>
      </c>
      <c r="F266" s="11">
        <f>F265</f>
        <v>46324</v>
      </c>
      <c r="G266" s="11">
        <f t="shared" ref="G266:G273" si="112">WORKDAY(F266,E266-1,0)</f>
        <v>46324</v>
      </c>
      <c r="H266" s="66"/>
    </row>
    <row r="267" spans="3:8" ht="15.75" customHeight="1" x14ac:dyDescent="0.3">
      <c r="C267" s="15" t="s">
        <v>37</v>
      </c>
      <c r="D267" s="12"/>
      <c r="E267" s="5">
        <v>1</v>
      </c>
      <c r="F267" s="11">
        <f>F266</f>
        <v>46324</v>
      </c>
      <c r="G267" s="11">
        <f t="shared" si="112"/>
        <v>46324</v>
      </c>
      <c r="H267" s="66"/>
    </row>
    <row r="268" spans="3:8" ht="15.75" customHeight="1" x14ac:dyDescent="0.3">
      <c r="C268" s="15" t="s">
        <v>38</v>
      </c>
      <c r="D268" s="12"/>
      <c r="E268" s="5">
        <v>2</v>
      </c>
      <c r="F268" s="11">
        <f>WORKDAY(G267,1,0)</f>
        <v>46325</v>
      </c>
      <c r="G268" s="11">
        <f t="shared" si="112"/>
        <v>46328</v>
      </c>
      <c r="H268" s="66"/>
    </row>
    <row r="269" spans="3:8" ht="15.75" customHeight="1" x14ac:dyDescent="0.3">
      <c r="C269" s="15" t="s">
        <v>40</v>
      </c>
      <c r="D269" s="12"/>
      <c r="E269" s="5">
        <v>2</v>
      </c>
      <c r="F269" s="11">
        <f>WORKDAY(G268,1,0)</f>
        <v>46329</v>
      </c>
      <c r="G269" s="11">
        <f t="shared" si="112"/>
        <v>46330</v>
      </c>
      <c r="H269" s="66"/>
    </row>
    <row r="270" spans="3:8" ht="15.75" customHeight="1" x14ac:dyDescent="0.3">
      <c r="C270" s="15" t="s">
        <v>39</v>
      </c>
      <c r="D270" s="12"/>
      <c r="E270" s="5">
        <v>3</v>
      </c>
      <c r="F270" s="11">
        <f>F269</f>
        <v>46329</v>
      </c>
      <c r="G270" s="11">
        <f t="shared" si="112"/>
        <v>46331</v>
      </c>
      <c r="H270" s="66"/>
    </row>
    <row r="271" spans="3:8" ht="15.75" customHeight="1" x14ac:dyDescent="0.3">
      <c r="C271" s="15" t="s">
        <v>41</v>
      </c>
      <c r="D271" s="12"/>
      <c r="E271" s="5">
        <v>1</v>
      </c>
      <c r="F271" s="11">
        <f t="shared" ref="F271" si="113">WORKDAY(G270,1,0)</f>
        <v>46332</v>
      </c>
      <c r="G271" s="11">
        <f t="shared" si="112"/>
        <v>46332</v>
      </c>
      <c r="H271" s="66"/>
    </row>
    <row r="272" spans="3:8" ht="15.75" customHeight="1" x14ac:dyDescent="0.3">
      <c r="C272" s="15" t="s">
        <v>42</v>
      </c>
      <c r="D272" s="12"/>
      <c r="E272" s="5">
        <v>1</v>
      </c>
      <c r="F272" s="11">
        <f>WORKDAY(F271,0,0)</f>
        <v>46332</v>
      </c>
      <c r="G272" s="11">
        <f t="shared" si="112"/>
        <v>46332</v>
      </c>
      <c r="H272" s="66"/>
    </row>
    <row r="273" spans="3:8" ht="15.75" customHeight="1" x14ac:dyDescent="0.3">
      <c r="C273" s="15" t="s">
        <v>43</v>
      </c>
      <c r="D273" s="12"/>
      <c r="E273" s="5">
        <v>1</v>
      </c>
      <c r="F273" s="11">
        <f>WORKDAY(G271,0,0)</f>
        <v>46332</v>
      </c>
      <c r="G273" s="11">
        <f t="shared" si="112"/>
        <v>46332</v>
      </c>
      <c r="H273" s="66"/>
    </row>
    <row r="274" spans="3:8" s="8" customFormat="1" x14ac:dyDescent="0.3">
      <c r="C274" s="37" t="s">
        <v>27</v>
      </c>
      <c r="D274" s="48"/>
      <c r="E274" s="49"/>
      <c r="F274" s="50">
        <f>F53</f>
        <v>46324</v>
      </c>
      <c r="G274" s="50">
        <f>G282</f>
        <v>46337</v>
      </c>
      <c r="H274" s="66"/>
    </row>
    <row r="275" spans="3:8" ht="15.75" customHeight="1" x14ac:dyDescent="0.3">
      <c r="C275" s="15" t="s">
        <v>36</v>
      </c>
      <c r="D275" s="12"/>
      <c r="E275" s="5">
        <v>1</v>
      </c>
      <c r="F275" s="11">
        <f>F274</f>
        <v>46324</v>
      </c>
      <c r="G275" s="11">
        <f t="shared" ref="G275:G282" si="114">WORKDAY(F275,E275-1,0)</f>
        <v>46324</v>
      </c>
      <c r="H275" s="66"/>
    </row>
    <row r="276" spans="3:8" ht="15.75" customHeight="1" x14ac:dyDescent="0.3">
      <c r="C276" s="15" t="s">
        <v>37</v>
      </c>
      <c r="D276" s="12"/>
      <c r="E276" s="5">
        <v>1</v>
      </c>
      <c r="F276" s="11">
        <f>F275</f>
        <v>46324</v>
      </c>
      <c r="G276" s="11">
        <f t="shared" si="114"/>
        <v>46324</v>
      </c>
      <c r="H276" s="66"/>
    </row>
    <row r="277" spans="3:8" ht="15.75" customHeight="1" x14ac:dyDescent="0.3">
      <c r="C277" s="15" t="s">
        <v>38</v>
      </c>
      <c r="D277" s="12"/>
      <c r="E277" s="5">
        <v>2</v>
      </c>
      <c r="F277" s="11">
        <f>WORKDAY(G276,1,0)</f>
        <v>46325</v>
      </c>
      <c r="G277" s="11">
        <f t="shared" si="114"/>
        <v>46328</v>
      </c>
      <c r="H277" s="66"/>
    </row>
    <row r="278" spans="3:8" ht="15.75" customHeight="1" x14ac:dyDescent="0.3">
      <c r="C278" s="15" t="s">
        <v>40</v>
      </c>
      <c r="D278" s="12"/>
      <c r="E278" s="5">
        <v>2</v>
      </c>
      <c r="F278" s="11">
        <f>F271</f>
        <v>46332</v>
      </c>
      <c r="G278" s="11">
        <f t="shared" si="114"/>
        <v>46335</v>
      </c>
      <c r="H278" s="66"/>
    </row>
    <row r="279" spans="3:8" ht="15.75" customHeight="1" x14ac:dyDescent="0.3">
      <c r="C279" s="15" t="s">
        <v>39</v>
      </c>
      <c r="D279" s="12"/>
      <c r="E279" s="5">
        <v>3</v>
      </c>
      <c r="F279" s="11">
        <f>F278</f>
        <v>46332</v>
      </c>
      <c r="G279" s="11">
        <f t="shared" si="114"/>
        <v>46336</v>
      </c>
      <c r="H279" s="66"/>
    </row>
    <row r="280" spans="3:8" ht="15.75" customHeight="1" x14ac:dyDescent="0.3">
      <c r="C280" s="15" t="s">
        <v>41</v>
      </c>
      <c r="D280" s="12"/>
      <c r="E280" s="5">
        <v>1</v>
      </c>
      <c r="F280" s="11">
        <f t="shared" ref="F280" si="115">WORKDAY(G279,1,0)</f>
        <v>46337</v>
      </c>
      <c r="G280" s="11">
        <f t="shared" si="114"/>
        <v>46337</v>
      </c>
      <c r="H280" s="66"/>
    </row>
    <row r="281" spans="3:8" ht="15.75" customHeight="1" x14ac:dyDescent="0.3">
      <c r="C281" s="15" t="s">
        <v>42</v>
      </c>
      <c r="D281" s="12"/>
      <c r="E281" s="5">
        <v>1</v>
      </c>
      <c r="F281" s="11">
        <f>WORKDAY(F280,0,0)</f>
        <v>46337</v>
      </c>
      <c r="G281" s="11">
        <f t="shared" si="114"/>
        <v>46337</v>
      </c>
      <c r="H281" s="66"/>
    </row>
    <row r="282" spans="3:8" ht="15.75" customHeight="1" x14ac:dyDescent="0.3">
      <c r="C282" s="15" t="s">
        <v>43</v>
      </c>
      <c r="D282" s="12"/>
      <c r="E282" s="5">
        <v>1</v>
      </c>
      <c r="F282" s="11">
        <f>WORKDAY(G280,0,0)</f>
        <v>46337</v>
      </c>
      <c r="G282" s="11">
        <f t="shared" si="114"/>
        <v>46337</v>
      </c>
      <c r="H282" s="66"/>
    </row>
    <row r="283" spans="3:8" s="8" customFormat="1" x14ac:dyDescent="0.3">
      <c r="C283" s="37" t="s">
        <v>28</v>
      </c>
      <c r="D283" s="48"/>
      <c r="E283" s="49"/>
      <c r="F283" s="50">
        <f>F54</f>
        <v>46324</v>
      </c>
      <c r="G283" s="50">
        <f t="shared" si="1"/>
        <v>46323</v>
      </c>
      <c r="H283" s="66"/>
    </row>
    <row r="284" spans="3:8" ht="15.75" customHeight="1" x14ac:dyDescent="0.3">
      <c r="C284" s="15" t="s">
        <v>36</v>
      </c>
      <c r="D284" s="12"/>
      <c r="E284" s="5">
        <v>1</v>
      </c>
      <c r="F284" s="11">
        <f>F283</f>
        <v>46324</v>
      </c>
      <c r="G284" s="11">
        <f t="shared" ref="G284:G291" si="116">WORKDAY(F284,E284-1,0)</f>
        <v>46324</v>
      </c>
      <c r="H284" s="66"/>
    </row>
    <row r="285" spans="3:8" ht="15.75" customHeight="1" x14ac:dyDescent="0.3">
      <c r="C285" s="15" t="s">
        <v>37</v>
      </c>
      <c r="D285" s="12"/>
      <c r="E285" s="5">
        <v>1</v>
      </c>
      <c r="F285" s="11">
        <f>F284</f>
        <v>46324</v>
      </c>
      <c r="G285" s="11">
        <f t="shared" si="116"/>
        <v>46324</v>
      </c>
      <c r="H285" s="66"/>
    </row>
    <row r="286" spans="3:8" ht="15.75" customHeight="1" x14ac:dyDescent="0.3">
      <c r="C286" s="15" t="s">
        <v>38</v>
      </c>
      <c r="D286" s="12"/>
      <c r="E286" s="5">
        <v>2</v>
      </c>
      <c r="F286" s="11">
        <f>WORKDAY(G285,1,0)</f>
        <v>46325</v>
      </c>
      <c r="G286" s="11">
        <f t="shared" si="116"/>
        <v>46328</v>
      </c>
      <c r="H286" s="66"/>
    </row>
    <row r="287" spans="3:8" ht="15.75" customHeight="1" x14ac:dyDescent="0.3">
      <c r="C287" s="15" t="s">
        <v>40</v>
      </c>
      <c r="D287" s="12"/>
      <c r="E287" s="5">
        <v>2</v>
      </c>
      <c r="F287" s="11">
        <f>WORKDAY(G286,1,0)</f>
        <v>46329</v>
      </c>
      <c r="G287" s="11">
        <f t="shared" si="116"/>
        <v>46330</v>
      </c>
      <c r="H287" s="66"/>
    </row>
    <row r="288" spans="3:8" ht="15.75" customHeight="1" x14ac:dyDescent="0.3">
      <c r="C288" s="15" t="s">
        <v>39</v>
      </c>
      <c r="D288" s="12"/>
      <c r="E288" s="5">
        <v>3</v>
      </c>
      <c r="F288" s="11">
        <f>F287</f>
        <v>46329</v>
      </c>
      <c r="G288" s="11">
        <f t="shared" si="116"/>
        <v>46331</v>
      </c>
      <c r="H288" s="66"/>
    </row>
    <row r="289" spans="3:8" ht="15.75" customHeight="1" x14ac:dyDescent="0.3">
      <c r="C289" s="15" t="s">
        <v>41</v>
      </c>
      <c r="D289" s="12"/>
      <c r="E289" s="5">
        <v>1</v>
      </c>
      <c r="F289" s="11">
        <f t="shared" ref="F289" si="117">WORKDAY(G288,1,0)</f>
        <v>46332</v>
      </c>
      <c r="G289" s="11">
        <f t="shared" si="116"/>
        <v>46332</v>
      </c>
      <c r="H289" s="66"/>
    </row>
    <row r="290" spans="3:8" ht="15.75" customHeight="1" x14ac:dyDescent="0.3">
      <c r="C290" s="15" t="s">
        <v>42</v>
      </c>
      <c r="D290" s="12"/>
      <c r="E290" s="5">
        <v>1</v>
      </c>
      <c r="F290" s="11">
        <f>WORKDAY(F289,0,0)</f>
        <v>46332</v>
      </c>
      <c r="G290" s="11">
        <f t="shared" si="116"/>
        <v>46332</v>
      </c>
      <c r="H290" s="66"/>
    </row>
    <row r="291" spans="3:8" ht="15.75" customHeight="1" x14ac:dyDescent="0.3">
      <c r="C291" s="15" t="s">
        <v>43</v>
      </c>
      <c r="D291" s="12"/>
      <c r="E291" s="5">
        <v>1</v>
      </c>
      <c r="F291" s="11">
        <f>WORKDAY(G289,0,0)</f>
        <v>46332</v>
      </c>
      <c r="G291" s="11">
        <f t="shared" si="116"/>
        <v>46332</v>
      </c>
      <c r="H291" s="66"/>
    </row>
    <row r="292" spans="3:8" s="8" customFormat="1" x14ac:dyDescent="0.3">
      <c r="C292" s="37" t="s">
        <v>29</v>
      </c>
      <c r="D292" s="48"/>
      <c r="E292" s="49"/>
      <c r="F292" s="50">
        <f>F55</f>
        <v>46324</v>
      </c>
      <c r="G292" s="50">
        <f>G300</f>
        <v>46337</v>
      </c>
      <c r="H292" s="66"/>
    </row>
    <row r="293" spans="3:8" ht="15.75" customHeight="1" x14ac:dyDescent="0.3">
      <c r="C293" s="15" t="s">
        <v>36</v>
      </c>
      <c r="D293" s="12"/>
      <c r="E293" s="5">
        <v>1</v>
      </c>
      <c r="F293" s="11">
        <f>F292</f>
        <v>46324</v>
      </c>
      <c r="G293" s="11">
        <f t="shared" ref="G293:G300" si="118">WORKDAY(F293,E293-1,0)</f>
        <v>46324</v>
      </c>
      <c r="H293" s="66"/>
    </row>
    <row r="294" spans="3:8" ht="15.75" customHeight="1" x14ac:dyDescent="0.3">
      <c r="C294" s="15" t="s">
        <v>37</v>
      </c>
      <c r="D294" s="12"/>
      <c r="E294" s="5">
        <v>1</v>
      </c>
      <c r="F294" s="11">
        <f>F293</f>
        <v>46324</v>
      </c>
      <c r="G294" s="11">
        <f t="shared" si="118"/>
        <v>46324</v>
      </c>
      <c r="H294" s="66"/>
    </row>
    <row r="295" spans="3:8" ht="15.75" customHeight="1" x14ac:dyDescent="0.3">
      <c r="C295" s="15" t="s">
        <v>38</v>
      </c>
      <c r="D295" s="12"/>
      <c r="E295" s="5">
        <v>2</v>
      </c>
      <c r="F295" s="11">
        <f>WORKDAY(G294,1,0)</f>
        <v>46325</v>
      </c>
      <c r="G295" s="11">
        <f t="shared" si="118"/>
        <v>46328</v>
      </c>
      <c r="H295" s="66"/>
    </row>
    <row r="296" spans="3:8" ht="15.75" customHeight="1" x14ac:dyDescent="0.3">
      <c r="C296" s="15" t="s">
        <v>40</v>
      </c>
      <c r="D296" s="12"/>
      <c r="E296" s="5">
        <v>2</v>
      </c>
      <c r="F296" s="11">
        <f>F289</f>
        <v>46332</v>
      </c>
      <c r="G296" s="11">
        <f t="shared" si="118"/>
        <v>46335</v>
      </c>
      <c r="H296" s="66"/>
    </row>
    <row r="297" spans="3:8" ht="15.75" customHeight="1" x14ac:dyDescent="0.3">
      <c r="C297" s="15" t="s">
        <v>39</v>
      </c>
      <c r="D297" s="12"/>
      <c r="E297" s="5">
        <v>3</v>
      </c>
      <c r="F297" s="11">
        <f>F296</f>
        <v>46332</v>
      </c>
      <c r="G297" s="11">
        <f t="shared" si="118"/>
        <v>46336</v>
      </c>
      <c r="H297" s="66"/>
    </row>
    <row r="298" spans="3:8" ht="15.75" customHeight="1" x14ac:dyDescent="0.3">
      <c r="C298" s="15" t="s">
        <v>41</v>
      </c>
      <c r="D298" s="12"/>
      <c r="E298" s="5">
        <v>1</v>
      </c>
      <c r="F298" s="11">
        <f t="shared" ref="F298" si="119">WORKDAY(G297,1,0)</f>
        <v>46337</v>
      </c>
      <c r="G298" s="11">
        <f t="shared" si="118"/>
        <v>46337</v>
      </c>
      <c r="H298" s="66"/>
    </row>
    <row r="299" spans="3:8" ht="15.75" customHeight="1" x14ac:dyDescent="0.3">
      <c r="C299" s="15" t="s">
        <v>42</v>
      </c>
      <c r="D299" s="12"/>
      <c r="E299" s="5">
        <v>1</v>
      </c>
      <c r="F299" s="11">
        <f>WORKDAY(F298,0,0)</f>
        <v>46337</v>
      </c>
      <c r="G299" s="11">
        <f t="shared" si="118"/>
        <v>46337</v>
      </c>
      <c r="H299" s="66"/>
    </row>
    <row r="300" spans="3:8" ht="15.75" customHeight="1" x14ac:dyDescent="0.3">
      <c r="C300" s="15" t="s">
        <v>43</v>
      </c>
      <c r="D300" s="12"/>
      <c r="E300" s="5">
        <v>1</v>
      </c>
      <c r="F300" s="11">
        <f>WORKDAY(G298,0,0)</f>
        <v>46337</v>
      </c>
      <c r="G300" s="11">
        <f t="shared" si="118"/>
        <v>46337</v>
      </c>
      <c r="H300" s="67"/>
    </row>
    <row r="301" spans="3:8" s="8" customFormat="1" x14ac:dyDescent="0.3">
      <c r="C301" s="13"/>
      <c r="D301" s="12"/>
      <c r="E301" s="5"/>
      <c r="F301" s="11"/>
      <c r="G301" s="11"/>
      <c r="H301" s="54"/>
    </row>
    <row r="302" spans="3:8" s="8" customFormat="1" x14ac:dyDescent="0.3">
      <c r="C302" s="13"/>
      <c r="D302" s="12"/>
      <c r="E302" s="5"/>
      <c r="F302" s="11"/>
      <c r="G302" s="11"/>
      <c r="H302" s="54"/>
    </row>
    <row r="303" spans="3:8" s="8" customFormat="1" x14ac:dyDescent="0.3">
      <c r="C303" s="13"/>
      <c r="D303" s="14"/>
      <c r="E303" s="14"/>
      <c r="F303" s="14"/>
      <c r="G303" s="11"/>
      <c r="H303" s="54"/>
    </row>
    <row r="304" spans="3:8" s="8" customFormat="1" x14ac:dyDescent="0.3">
      <c r="C304" s="14"/>
      <c r="D304" s="14"/>
      <c r="E304" s="14"/>
      <c r="F304" s="14"/>
      <c r="G304" s="11"/>
      <c r="H304" s="54"/>
    </row>
    <row r="305" spans="3:8" x14ac:dyDescent="0.3">
      <c r="C305" s="14"/>
      <c r="D305" s="1"/>
      <c r="E305" s="1"/>
      <c r="F305" s="1"/>
      <c r="G305" s="1"/>
      <c r="H305" s="54"/>
    </row>
    <row r="306" spans="3:8" s="8" customFormat="1" x14ac:dyDescent="0.3"/>
    <row r="307" spans="3:8" s="8" customFormat="1" x14ac:dyDescent="0.3"/>
    <row r="308" spans="3:8" s="8" customFormat="1" x14ac:dyDescent="0.3"/>
    <row r="309" spans="3:8" s="8" customFormat="1" x14ac:dyDescent="0.3"/>
    <row r="310" spans="3:8" s="8" customFormat="1" x14ac:dyDescent="0.3"/>
    <row r="311" spans="3:8" s="8" customFormat="1" x14ac:dyDescent="0.3"/>
    <row r="312" spans="3:8" s="8" customFormat="1" x14ac:dyDescent="0.3"/>
    <row r="315" spans="3:8" s="8" customFormat="1" x14ac:dyDescent="0.3"/>
    <row r="316" spans="3:8" s="8" customFormat="1" x14ac:dyDescent="0.3"/>
    <row r="317" spans="3:8" s="8" customFormat="1" x14ac:dyDescent="0.3"/>
    <row r="318" spans="3:8" s="8" customFormat="1" x14ac:dyDescent="0.3"/>
    <row r="319" spans="3:8" s="8" customFormat="1" x14ac:dyDescent="0.3"/>
    <row r="320" spans="3:8" s="8" customFormat="1" x14ac:dyDescent="0.3"/>
    <row r="321" s="8" customFormat="1" x14ac:dyDescent="0.3"/>
    <row r="323" s="8" customFormat="1" x14ac:dyDescent="0.3"/>
    <row r="324" s="8" customFormat="1" x14ac:dyDescent="0.3"/>
    <row r="325" s="8" customFormat="1" x14ac:dyDescent="0.3"/>
    <row r="326" s="8" customFormat="1" x14ac:dyDescent="0.3"/>
    <row r="327" s="8" customFormat="1" x14ac:dyDescent="0.3"/>
    <row r="328" s="8" customFormat="1" x14ac:dyDescent="0.3"/>
    <row r="330" s="8" customFormat="1" x14ac:dyDescent="0.3"/>
    <row r="331" s="8" customFormat="1" x14ac:dyDescent="0.3"/>
    <row r="332" s="8" customFormat="1" x14ac:dyDescent="0.3"/>
    <row r="333" s="8" customFormat="1" x14ac:dyDescent="0.3"/>
    <row r="334" s="8" customFormat="1" x14ac:dyDescent="0.3"/>
    <row r="335" s="8" customFormat="1" x14ac:dyDescent="0.3"/>
    <row r="337" s="8" customFormat="1" x14ac:dyDescent="0.3"/>
    <row r="338" s="8" customFormat="1" x14ac:dyDescent="0.3"/>
    <row r="339" s="8" customFormat="1" x14ac:dyDescent="0.3"/>
    <row r="340" s="8" customFormat="1" x14ac:dyDescent="0.3"/>
    <row r="341" s="8" customFormat="1" x14ac:dyDescent="0.3"/>
    <row r="342" s="8" customFormat="1" x14ac:dyDescent="0.3"/>
    <row r="343" s="8" customFormat="1" x14ac:dyDescent="0.3"/>
    <row r="345" s="8" customFormat="1" x14ac:dyDescent="0.3"/>
    <row r="346" s="8" customFormat="1" x14ac:dyDescent="0.3"/>
    <row r="347" s="8" customFormat="1" x14ac:dyDescent="0.3"/>
    <row r="348" s="8" customFormat="1" x14ac:dyDescent="0.3"/>
    <row r="349" s="8" customFormat="1" x14ac:dyDescent="0.3"/>
    <row r="350" s="8" customFormat="1" x14ac:dyDescent="0.3"/>
    <row r="352" s="8" customFormat="1" x14ac:dyDescent="0.3"/>
    <row r="353" s="8" customFormat="1" x14ac:dyDescent="0.3"/>
    <row r="354" s="8" customFormat="1" x14ac:dyDescent="0.3"/>
    <row r="355" s="8" customFormat="1" x14ac:dyDescent="0.3"/>
    <row r="356" s="8" customFormat="1" x14ac:dyDescent="0.3"/>
    <row r="357" s="8" customFormat="1" x14ac:dyDescent="0.3"/>
    <row r="360" s="8" customFormat="1" x14ac:dyDescent="0.3"/>
    <row r="361" s="8" customFormat="1" x14ac:dyDescent="0.3"/>
    <row r="362" s="8" customFormat="1" x14ac:dyDescent="0.3"/>
    <row r="363" s="8" customFormat="1" x14ac:dyDescent="0.3"/>
    <row r="364" s="8" customFormat="1" x14ac:dyDescent="0.3"/>
    <row r="365" s="8" customFormat="1" x14ac:dyDescent="0.3"/>
    <row r="367" s="8" customFormat="1" x14ac:dyDescent="0.3"/>
    <row r="368" s="8" customFormat="1" x14ac:dyDescent="0.3"/>
    <row r="369" s="8" customFormat="1" x14ac:dyDescent="0.3"/>
    <row r="370" s="8" customFormat="1" x14ac:dyDescent="0.3"/>
    <row r="371" s="8" customFormat="1" x14ac:dyDescent="0.3"/>
    <row r="372" s="8" customFormat="1" x14ac:dyDescent="0.3"/>
    <row r="374" s="8" customFormat="1" x14ac:dyDescent="0.3"/>
    <row r="375" s="8" customFormat="1" x14ac:dyDescent="0.3"/>
    <row r="376" s="8" customFormat="1" x14ac:dyDescent="0.3"/>
    <row r="377" s="8" customFormat="1" x14ac:dyDescent="0.3"/>
    <row r="378" s="8" customFormat="1" x14ac:dyDescent="0.3"/>
    <row r="379" s="8" customFormat="1" x14ac:dyDescent="0.3"/>
    <row r="380" s="8" customFormat="1" x14ac:dyDescent="0.3"/>
    <row r="382" s="8" customFormat="1" x14ac:dyDescent="0.3"/>
    <row r="383" s="8" customFormat="1" x14ac:dyDescent="0.3"/>
    <row r="384" s="8" customFormat="1" x14ac:dyDescent="0.3"/>
    <row r="385" s="8" customFormat="1" x14ac:dyDescent="0.3"/>
    <row r="386" s="8" customFormat="1" x14ac:dyDescent="0.3"/>
    <row r="387" s="8" customFormat="1" x14ac:dyDescent="0.3"/>
    <row r="389" s="8" customFormat="1" x14ac:dyDescent="0.3"/>
    <row r="390" s="8" customFormat="1" x14ac:dyDescent="0.3"/>
    <row r="391" s="8" customFormat="1" x14ac:dyDescent="0.3"/>
    <row r="392" s="8" customFormat="1" x14ac:dyDescent="0.3"/>
    <row r="393" s="8" customFormat="1" x14ac:dyDescent="0.3"/>
    <row r="394" s="8" customFormat="1" x14ac:dyDescent="0.3"/>
    <row r="396" s="8" customFormat="1" x14ac:dyDescent="0.3"/>
    <row r="397" s="8" customFormat="1" x14ac:dyDescent="0.3"/>
    <row r="398" s="8" customFormat="1" x14ac:dyDescent="0.3"/>
    <row r="399" s="8" customFormat="1" x14ac:dyDescent="0.3"/>
    <row r="400" s="8" customFormat="1" x14ac:dyDescent="0.3"/>
    <row r="401" s="8" customFormat="1" x14ac:dyDescent="0.3"/>
    <row r="402" s="8" customFormat="1" x14ac:dyDescent="0.3"/>
    <row r="404" s="8" customFormat="1" x14ac:dyDescent="0.3"/>
    <row r="405" s="8" customFormat="1" x14ac:dyDescent="0.3"/>
    <row r="406" s="8" customFormat="1" x14ac:dyDescent="0.3"/>
    <row r="407" s="8" customFormat="1" x14ac:dyDescent="0.3"/>
    <row r="408" s="8" customFormat="1" x14ac:dyDescent="0.3"/>
    <row r="409" s="8" customFormat="1" x14ac:dyDescent="0.3"/>
    <row r="410" s="8" customFormat="1" x14ac:dyDescent="0.3"/>
    <row r="412" s="8" customFormat="1" x14ac:dyDescent="0.3"/>
    <row r="413" s="8" customFormat="1" x14ac:dyDescent="0.3"/>
    <row r="414" s="8" customFormat="1" x14ac:dyDescent="0.3"/>
    <row r="415" s="8" customFormat="1" x14ac:dyDescent="0.3"/>
    <row r="416" s="8" customFormat="1" x14ac:dyDescent="0.3"/>
    <row r="417" s="8" customFormat="1" x14ac:dyDescent="0.3"/>
    <row r="419" s="8" customFormat="1" x14ac:dyDescent="0.3"/>
    <row r="420" s="8" customFormat="1" x14ac:dyDescent="0.3"/>
    <row r="421" s="8" customFormat="1" x14ac:dyDescent="0.3"/>
    <row r="422" s="8" customFormat="1" x14ac:dyDescent="0.3"/>
    <row r="423" s="8" customFormat="1" x14ac:dyDescent="0.3"/>
    <row r="424" s="8" customFormat="1" x14ac:dyDescent="0.3"/>
    <row r="426" s="8" customFormat="1" x14ac:dyDescent="0.3"/>
    <row r="427" s="8" customFormat="1" x14ac:dyDescent="0.3"/>
    <row r="428" s="8" customFormat="1" x14ac:dyDescent="0.3"/>
    <row r="429" s="8" customFormat="1" x14ac:dyDescent="0.3"/>
    <row r="430" s="8" customFormat="1" x14ac:dyDescent="0.3"/>
    <row r="431" s="8" customFormat="1" x14ac:dyDescent="0.3"/>
    <row r="432" s="8" customFormat="1" x14ac:dyDescent="0.3"/>
    <row r="434" s="8" customFormat="1" x14ac:dyDescent="0.3"/>
    <row r="435" s="8" customFormat="1" x14ac:dyDescent="0.3"/>
    <row r="436" s="8" customFormat="1" x14ac:dyDescent="0.3"/>
    <row r="437" s="8" customFormat="1" x14ac:dyDescent="0.3"/>
    <row r="438" s="8" customFormat="1" x14ac:dyDescent="0.3"/>
    <row r="439" s="8" customFormat="1" x14ac:dyDescent="0.3"/>
    <row r="441" s="8" customFormat="1" x14ac:dyDescent="0.3"/>
    <row r="442" s="8" customFormat="1" x14ac:dyDescent="0.3"/>
    <row r="443" s="8" customFormat="1" x14ac:dyDescent="0.3"/>
    <row r="444" s="8" customFormat="1" x14ac:dyDescent="0.3"/>
    <row r="445" s="8" customFormat="1" x14ac:dyDescent="0.3"/>
    <row r="446" s="8" customFormat="1" x14ac:dyDescent="0.3"/>
  </sheetData>
  <mergeCells count="7">
    <mergeCell ref="H57:H92"/>
    <mergeCell ref="H93:H128"/>
    <mergeCell ref="H193:H228"/>
    <mergeCell ref="H229:H264"/>
    <mergeCell ref="H265:H300"/>
    <mergeCell ref="H129:H164"/>
    <mergeCell ref="H165:H191"/>
  </mergeCells>
  <phoneticPr fontId="3" type="noConversion"/>
  <conditionalFormatting sqref="G57 G66 G75 G84 G93 G111 G120 G129 G138 G147 G156 G165 G174 G183 G193 G202 G211 G220 G229 G238 G247 G256 G265 G274 G283 G292">
    <cfRule type="cellIs" dxfId="0" priority="1" operator="greaterThan">
      <formula>$G$2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92402-86C8-40AF-9141-6A07A2094878}">
  <dimension ref="A1:P65"/>
  <sheetViews>
    <sheetView zoomScale="85" zoomScaleNormal="85" workbookViewId="0">
      <selection activeCell="H24" sqref="H24"/>
    </sheetView>
  </sheetViews>
  <sheetFormatPr defaultRowHeight="14.4" x14ac:dyDescent="0.3"/>
  <cols>
    <col min="1" max="1" width="35.44140625" style="43" customWidth="1"/>
    <col min="2" max="2" width="10.44140625" style="43" customWidth="1"/>
    <col min="3" max="4" width="10.44140625" style="61" customWidth="1"/>
    <col min="5" max="5" width="8.88671875" style="60"/>
  </cols>
  <sheetData>
    <row r="1" spans="1:16" ht="27" customHeight="1" x14ac:dyDescent="0.3">
      <c r="A1" s="38" t="s">
        <v>2</v>
      </c>
      <c r="B1" s="62" t="s">
        <v>107</v>
      </c>
      <c r="C1" s="62" t="s">
        <v>108</v>
      </c>
      <c r="D1" s="62" t="s">
        <v>109</v>
      </c>
      <c r="E1" s="62" t="s">
        <v>110</v>
      </c>
    </row>
    <row r="2" spans="1:16" x14ac:dyDescent="0.3">
      <c r="A2" s="39">
        <f>Startdate</f>
        <v>46266</v>
      </c>
      <c r="B2" s="21">
        <f>SUMIFS(Sheet1!$D:$D,Sheet1!$F:$F,"&lt;="&amp;A2,Sheet1!$G:$G,"&gt;="&amp;A2)</f>
        <v>14</v>
      </c>
      <c r="C2" s="63"/>
      <c r="D2" s="63">
        <f>B2-C2</f>
        <v>14</v>
      </c>
      <c r="E2" s="68" t="s">
        <v>91</v>
      </c>
    </row>
    <row r="3" spans="1:16" x14ac:dyDescent="0.3">
      <c r="A3" s="39">
        <f>WORKDAY(A2,1,0)</f>
        <v>46267</v>
      </c>
      <c r="B3" s="21">
        <f>SUMIFS(Sheet1!$D:$D,Sheet1!$F:$F,"&lt;="&amp;A3,Sheet1!$G:$G,"&gt;="&amp;A3)</f>
        <v>14</v>
      </c>
      <c r="C3" s="63"/>
      <c r="D3" s="63">
        <f t="shared" ref="D3:D61" si="0">B3-C3</f>
        <v>14</v>
      </c>
      <c r="E3" s="69"/>
    </row>
    <row r="4" spans="1:16" x14ac:dyDescent="0.3">
      <c r="A4" s="39">
        <f t="shared" ref="A4:A61" si="1">WORKDAY(A3,1,0)</f>
        <v>46268</v>
      </c>
      <c r="B4" s="21">
        <f>SUMIFS(Sheet1!$D:$D,Sheet1!$F:$F,"&lt;="&amp;A4,Sheet1!$G:$G,"&gt;="&amp;A4)</f>
        <v>14</v>
      </c>
      <c r="C4" s="63"/>
      <c r="D4" s="63">
        <f t="shared" si="0"/>
        <v>14</v>
      </c>
      <c r="E4" s="69"/>
    </row>
    <row r="5" spans="1:16" x14ac:dyDescent="0.3">
      <c r="A5" s="39">
        <f t="shared" si="1"/>
        <v>46269</v>
      </c>
      <c r="B5" s="21">
        <f>SUMIFS(Sheet1!$D:$D,Sheet1!$F:$F,"&lt;="&amp;A5,Sheet1!$G:$G,"&gt;="&amp;A5)</f>
        <v>14</v>
      </c>
      <c r="C5" s="63"/>
      <c r="D5" s="63">
        <f t="shared" si="0"/>
        <v>14</v>
      </c>
      <c r="E5" s="70"/>
    </row>
    <row r="6" spans="1:16" x14ac:dyDescent="0.3">
      <c r="A6" s="39">
        <f t="shared" si="1"/>
        <v>46272</v>
      </c>
      <c r="B6" s="21">
        <f>SUMIFS(Sheet1!$D:$D,Sheet1!$F:$F,"&lt;="&amp;A6,Sheet1!$G:$G,"&gt;="&amp;A6)</f>
        <v>14</v>
      </c>
      <c r="C6" s="63"/>
      <c r="D6" s="63">
        <f t="shared" si="0"/>
        <v>14</v>
      </c>
      <c r="E6" s="68" t="s">
        <v>92</v>
      </c>
    </row>
    <row r="7" spans="1:16" x14ac:dyDescent="0.3">
      <c r="A7" s="39">
        <f t="shared" si="1"/>
        <v>46273</v>
      </c>
      <c r="B7" s="21">
        <f>SUMIFS(Sheet1!$D:$D,Sheet1!$F:$F,"&lt;="&amp;A7,Sheet1!$G:$G,"&gt;="&amp;A7)</f>
        <v>14</v>
      </c>
      <c r="C7" s="63"/>
      <c r="D7" s="63">
        <f t="shared" si="0"/>
        <v>14</v>
      </c>
      <c r="E7" s="69"/>
      <c r="H7" s="64"/>
    </row>
    <row r="8" spans="1:16" x14ac:dyDescent="0.3">
      <c r="A8" s="39">
        <f t="shared" si="1"/>
        <v>46274</v>
      </c>
      <c r="B8" s="21">
        <f>SUMIFS(Sheet1!$D:$D,Sheet1!$F:$F,"&lt;="&amp;A8,Sheet1!$G:$G,"&gt;="&amp;A8)</f>
        <v>14</v>
      </c>
      <c r="C8" s="63"/>
      <c r="D8" s="63">
        <f t="shared" si="0"/>
        <v>14</v>
      </c>
      <c r="E8" s="69"/>
    </row>
    <row r="9" spans="1:16" x14ac:dyDescent="0.3">
      <c r="A9" s="39">
        <f t="shared" si="1"/>
        <v>46275</v>
      </c>
      <c r="B9" s="21">
        <f>SUMIFS(Sheet1!$D:$D,Sheet1!$F:$F,"&lt;="&amp;A9,Sheet1!$G:$G,"&gt;="&amp;A9)</f>
        <v>14</v>
      </c>
      <c r="C9" s="63"/>
      <c r="D9" s="63">
        <f t="shared" si="0"/>
        <v>14</v>
      </c>
      <c r="E9" s="70"/>
      <c r="P9">
        <v>354</v>
      </c>
    </row>
    <row r="10" spans="1:16" x14ac:dyDescent="0.3">
      <c r="A10" s="39">
        <f t="shared" si="1"/>
        <v>46276</v>
      </c>
      <c r="B10" s="21">
        <f>SUMIFS(Sheet1!$D:$D,Sheet1!$F:$F,"&lt;="&amp;A10,Sheet1!$G:$G,"&gt;="&amp;A10)</f>
        <v>14</v>
      </c>
      <c r="C10" s="63"/>
      <c r="D10" s="63">
        <f t="shared" si="0"/>
        <v>14</v>
      </c>
      <c r="E10" s="68" t="s">
        <v>93</v>
      </c>
      <c r="P10">
        <v>8</v>
      </c>
    </row>
    <row r="11" spans="1:16" x14ac:dyDescent="0.3">
      <c r="A11" s="39">
        <f t="shared" si="1"/>
        <v>46279</v>
      </c>
      <c r="B11" s="21">
        <f>SUMIFS(Sheet1!$D:$D,Sheet1!$F:$F,"&lt;="&amp;A11,Sheet1!$G:$G,"&gt;="&amp;A11)</f>
        <v>14</v>
      </c>
      <c r="C11" s="63"/>
      <c r="D11" s="63">
        <f t="shared" si="0"/>
        <v>14</v>
      </c>
      <c r="E11" s="69"/>
      <c r="P11">
        <f>P9*P10</f>
        <v>2832</v>
      </c>
    </row>
    <row r="12" spans="1:16" x14ac:dyDescent="0.3">
      <c r="A12" s="39">
        <f t="shared" si="1"/>
        <v>46280</v>
      </c>
      <c r="B12" s="21">
        <f>SUMIFS(Sheet1!$D:$D,Sheet1!$F:$F,"&lt;="&amp;A12,Sheet1!$G:$G,"&gt;="&amp;A12)</f>
        <v>14</v>
      </c>
      <c r="C12" s="63"/>
      <c r="D12" s="63">
        <f t="shared" si="0"/>
        <v>14</v>
      </c>
      <c r="E12" s="69"/>
    </row>
    <row r="13" spans="1:16" x14ac:dyDescent="0.3">
      <c r="A13" s="39">
        <f t="shared" si="1"/>
        <v>46281</v>
      </c>
      <c r="B13" s="21">
        <f>SUMIFS(Sheet1!$D:$D,Sheet1!$F:$F,"&lt;="&amp;A13,Sheet1!$G:$G,"&gt;="&amp;A13)</f>
        <v>14</v>
      </c>
      <c r="C13" s="63"/>
      <c r="D13" s="63">
        <f t="shared" si="0"/>
        <v>14</v>
      </c>
      <c r="E13" s="70"/>
    </row>
    <row r="14" spans="1:16" x14ac:dyDescent="0.3">
      <c r="A14" s="39">
        <f t="shared" si="1"/>
        <v>46282</v>
      </c>
      <c r="B14" s="21">
        <f>SUMIFS(Sheet1!$D:$D,Sheet1!$F:$F,"&lt;="&amp;A14,Sheet1!$G:$G,"&gt;="&amp;A14)</f>
        <v>14</v>
      </c>
      <c r="C14" s="63"/>
      <c r="D14" s="63">
        <f t="shared" si="0"/>
        <v>14</v>
      </c>
      <c r="E14" s="68" t="s">
        <v>94</v>
      </c>
    </row>
    <row r="15" spans="1:16" x14ac:dyDescent="0.3">
      <c r="A15" s="39">
        <f t="shared" si="1"/>
        <v>46283</v>
      </c>
      <c r="B15" s="21">
        <f>SUMIFS(Sheet1!$D:$D,Sheet1!$F:$F,"&lt;="&amp;A15,Sheet1!$G:$G,"&gt;="&amp;A15)</f>
        <v>14</v>
      </c>
      <c r="C15" s="63"/>
      <c r="D15" s="63">
        <f t="shared" si="0"/>
        <v>14</v>
      </c>
      <c r="E15" s="69"/>
    </row>
    <row r="16" spans="1:16" x14ac:dyDescent="0.3">
      <c r="A16" s="39">
        <f t="shared" si="1"/>
        <v>46286</v>
      </c>
      <c r="B16" s="21">
        <f>SUMIFS(Sheet1!$D:$D,Sheet1!$F:$F,"&lt;="&amp;A16,Sheet1!$G:$G,"&gt;="&amp;A16)</f>
        <v>14</v>
      </c>
      <c r="C16" s="63"/>
      <c r="D16" s="63">
        <f t="shared" si="0"/>
        <v>14</v>
      </c>
      <c r="E16" s="69"/>
    </row>
    <row r="17" spans="1:5" x14ac:dyDescent="0.3">
      <c r="A17" s="39">
        <f t="shared" si="1"/>
        <v>46287</v>
      </c>
      <c r="B17" s="21">
        <f>SUMIFS(Sheet1!$D:$D,Sheet1!$F:$F,"&lt;="&amp;A17,Sheet1!$G:$G,"&gt;="&amp;A17)</f>
        <v>14</v>
      </c>
      <c r="C17" s="63"/>
      <c r="D17" s="63">
        <f t="shared" si="0"/>
        <v>14</v>
      </c>
      <c r="E17" s="70"/>
    </row>
    <row r="18" spans="1:5" x14ac:dyDescent="0.3">
      <c r="A18" s="39">
        <f t="shared" si="1"/>
        <v>46288</v>
      </c>
      <c r="B18" s="21">
        <f>SUMIFS(Sheet1!$D:$D,Sheet1!$F:$F,"&lt;="&amp;A18,Sheet1!$G:$G,"&gt;="&amp;A18)</f>
        <v>14</v>
      </c>
      <c r="C18" s="63"/>
      <c r="D18" s="63">
        <f t="shared" si="0"/>
        <v>14</v>
      </c>
      <c r="E18" s="68" t="s">
        <v>95</v>
      </c>
    </row>
    <row r="19" spans="1:5" x14ac:dyDescent="0.3">
      <c r="A19" s="39">
        <f t="shared" si="1"/>
        <v>46289</v>
      </c>
      <c r="B19" s="21">
        <f>SUMIFS(Sheet1!$D:$D,Sheet1!$F:$F,"&lt;="&amp;A19,Sheet1!$G:$G,"&gt;="&amp;A19)</f>
        <v>14</v>
      </c>
      <c r="C19" s="63"/>
      <c r="D19" s="63">
        <f t="shared" si="0"/>
        <v>14</v>
      </c>
      <c r="E19" s="69"/>
    </row>
    <row r="20" spans="1:5" x14ac:dyDescent="0.3">
      <c r="A20" s="39">
        <f t="shared" si="1"/>
        <v>46290</v>
      </c>
      <c r="B20" s="21">
        <f>SUMIFS(Sheet1!$D:$D,Sheet1!$F:$F,"&lt;="&amp;A20,Sheet1!$G:$G,"&gt;="&amp;A20)</f>
        <v>14</v>
      </c>
      <c r="C20" s="63"/>
      <c r="D20" s="63">
        <f t="shared" si="0"/>
        <v>14</v>
      </c>
      <c r="E20" s="69"/>
    </row>
    <row r="21" spans="1:5" x14ac:dyDescent="0.3">
      <c r="A21" s="39">
        <f t="shared" si="1"/>
        <v>46293</v>
      </c>
      <c r="B21" s="21">
        <f>SUMIFS(Sheet1!$D:$D,Sheet1!$F:$F,"&lt;="&amp;A21,Sheet1!$G:$G,"&gt;="&amp;A21)</f>
        <v>14</v>
      </c>
      <c r="C21" s="63"/>
      <c r="D21" s="63">
        <f t="shared" si="0"/>
        <v>14</v>
      </c>
      <c r="E21" s="70"/>
    </row>
    <row r="22" spans="1:5" x14ac:dyDescent="0.3">
      <c r="A22" s="39">
        <f t="shared" si="1"/>
        <v>46294</v>
      </c>
      <c r="B22" s="21">
        <f>SUMIFS(Sheet1!$D:$D,Sheet1!$F:$F,"&lt;="&amp;A22,Sheet1!$G:$G,"&gt;="&amp;A22)</f>
        <v>6</v>
      </c>
      <c r="C22" s="63"/>
      <c r="D22" s="63">
        <f t="shared" si="0"/>
        <v>6</v>
      </c>
      <c r="E22" s="68" t="s">
        <v>96</v>
      </c>
    </row>
    <row r="23" spans="1:5" x14ac:dyDescent="0.3">
      <c r="A23" s="39">
        <f t="shared" si="1"/>
        <v>46295</v>
      </c>
      <c r="B23" s="21">
        <f>SUMIFS(Sheet1!$D:$D,Sheet1!$F:$F,"&lt;="&amp;A23,Sheet1!$G:$G,"&gt;="&amp;A23)</f>
        <v>6</v>
      </c>
      <c r="C23" s="63"/>
      <c r="D23" s="63">
        <f t="shared" si="0"/>
        <v>6</v>
      </c>
      <c r="E23" s="69"/>
    </row>
    <row r="24" spans="1:5" x14ac:dyDescent="0.3">
      <c r="A24" s="39">
        <f t="shared" si="1"/>
        <v>46296</v>
      </c>
      <c r="B24" s="21">
        <f>SUMIFS(Sheet1!$D:$D,Sheet1!$F:$F,"&lt;="&amp;A24,Sheet1!$G:$G,"&gt;="&amp;A24)</f>
        <v>34</v>
      </c>
      <c r="C24" s="63"/>
      <c r="D24" s="63">
        <f t="shared" si="0"/>
        <v>34</v>
      </c>
      <c r="E24" s="69"/>
    </row>
    <row r="25" spans="1:5" x14ac:dyDescent="0.3">
      <c r="A25" s="39">
        <f t="shared" si="1"/>
        <v>46297</v>
      </c>
      <c r="B25" s="21">
        <f>SUMIFS(Sheet1!$D:$D,Sheet1!$F:$F,"&lt;="&amp;A25,Sheet1!$G:$G,"&gt;="&amp;A25)</f>
        <v>28</v>
      </c>
      <c r="C25" s="63"/>
      <c r="D25" s="63">
        <f t="shared" si="0"/>
        <v>28</v>
      </c>
      <c r="E25" s="70"/>
    </row>
    <row r="26" spans="1:5" x14ac:dyDescent="0.3">
      <c r="A26" s="39">
        <f t="shared" si="1"/>
        <v>46300</v>
      </c>
      <c r="B26" s="21">
        <f>SUMIFS(Sheet1!$D:$D,Sheet1!$F:$F,"&lt;="&amp;A26,Sheet1!$G:$G,"&gt;="&amp;A26)</f>
        <v>28</v>
      </c>
      <c r="C26" s="63"/>
      <c r="D26" s="63">
        <f t="shared" si="0"/>
        <v>28</v>
      </c>
      <c r="E26" s="68" t="s">
        <v>97</v>
      </c>
    </row>
    <row r="27" spans="1:5" x14ac:dyDescent="0.3">
      <c r="A27" s="39">
        <f t="shared" si="1"/>
        <v>46301</v>
      </c>
      <c r="B27" s="21">
        <f>SUMIFS(Sheet1!$D:$D,Sheet1!$F:$F,"&lt;="&amp;A27,Sheet1!$G:$G,"&gt;="&amp;A27)</f>
        <v>28</v>
      </c>
      <c r="C27" s="63"/>
      <c r="D27" s="63">
        <f t="shared" si="0"/>
        <v>28</v>
      </c>
      <c r="E27" s="69"/>
    </row>
    <row r="28" spans="1:5" x14ac:dyDescent="0.3">
      <c r="A28" s="39">
        <f t="shared" si="1"/>
        <v>46302</v>
      </c>
      <c r="B28" s="21">
        <f>SUMIFS(Sheet1!$D:$D,Sheet1!$F:$F,"&lt;="&amp;A28,Sheet1!$G:$G,"&gt;="&amp;A28)</f>
        <v>28</v>
      </c>
      <c r="C28" s="63"/>
      <c r="D28" s="63">
        <f t="shared" si="0"/>
        <v>28</v>
      </c>
      <c r="E28" s="69"/>
    </row>
    <row r="29" spans="1:5" x14ac:dyDescent="0.3">
      <c r="A29" s="39">
        <f t="shared" si="1"/>
        <v>46303</v>
      </c>
      <c r="B29" s="21">
        <f>SUMIFS(Sheet1!$D:$D,Sheet1!$F:$F,"&lt;="&amp;A29,Sheet1!$G:$G,"&gt;="&amp;A29)</f>
        <v>28</v>
      </c>
      <c r="C29" s="63"/>
      <c r="D29" s="63">
        <f t="shared" si="0"/>
        <v>28</v>
      </c>
      <c r="E29" s="70"/>
    </row>
    <row r="30" spans="1:5" x14ac:dyDescent="0.3">
      <c r="A30" s="39">
        <f t="shared" si="1"/>
        <v>46304</v>
      </c>
      <c r="B30" s="21">
        <f>SUMIFS(Sheet1!$D:$D,Sheet1!$F:$F,"&lt;="&amp;A30,Sheet1!$G:$G,"&gt;="&amp;A30)</f>
        <v>28</v>
      </c>
      <c r="C30" s="63"/>
      <c r="D30" s="63">
        <f t="shared" si="0"/>
        <v>28</v>
      </c>
      <c r="E30" s="68" t="s">
        <v>98</v>
      </c>
    </row>
    <row r="31" spans="1:5" x14ac:dyDescent="0.3">
      <c r="A31" s="39">
        <f t="shared" si="1"/>
        <v>46307</v>
      </c>
      <c r="B31" s="21">
        <f>SUMIFS(Sheet1!$D:$D,Sheet1!$F:$F,"&lt;="&amp;A31,Sheet1!$G:$G,"&gt;="&amp;A31)</f>
        <v>28</v>
      </c>
      <c r="C31" s="63"/>
      <c r="D31" s="63">
        <f t="shared" si="0"/>
        <v>28</v>
      </c>
      <c r="E31" s="69"/>
    </row>
    <row r="32" spans="1:5" x14ac:dyDescent="0.3">
      <c r="A32" s="39">
        <f t="shared" si="1"/>
        <v>46308</v>
      </c>
      <c r="B32" s="21">
        <f>SUMIFS(Sheet1!$D:$D,Sheet1!$F:$F,"&lt;="&amp;A32,Sheet1!$G:$G,"&gt;="&amp;A32)</f>
        <v>28</v>
      </c>
      <c r="C32" s="63"/>
      <c r="D32" s="63">
        <f t="shared" si="0"/>
        <v>28</v>
      </c>
      <c r="E32" s="69"/>
    </row>
    <row r="33" spans="1:5" x14ac:dyDescent="0.3">
      <c r="A33" s="39">
        <f t="shared" si="1"/>
        <v>46309</v>
      </c>
      <c r="B33" s="21">
        <f>SUMIFS(Sheet1!$D:$D,Sheet1!$F:$F,"&lt;="&amp;A33,Sheet1!$G:$G,"&gt;="&amp;A33)</f>
        <v>28</v>
      </c>
      <c r="C33" s="63"/>
      <c r="D33" s="63">
        <f t="shared" si="0"/>
        <v>28</v>
      </c>
      <c r="E33" s="70"/>
    </row>
    <row r="34" spans="1:5" x14ac:dyDescent="0.3">
      <c r="A34" s="39">
        <f t="shared" si="1"/>
        <v>46310</v>
      </c>
      <c r="B34" s="21">
        <f>SUMIFS(Sheet1!$D:$D,Sheet1!$F:$F,"&lt;="&amp;A34,Sheet1!$G:$G,"&gt;="&amp;A34)</f>
        <v>28</v>
      </c>
      <c r="C34" s="63"/>
      <c r="D34" s="63">
        <f t="shared" si="0"/>
        <v>28</v>
      </c>
      <c r="E34" s="68" t="s">
        <v>99</v>
      </c>
    </row>
    <row r="35" spans="1:5" x14ac:dyDescent="0.3">
      <c r="A35" s="39">
        <f t="shared" si="1"/>
        <v>46311</v>
      </c>
      <c r="B35" s="21">
        <f>SUMIFS(Sheet1!$D:$D,Sheet1!$F:$F,"&lt;="&amp;A35,Sheet1!$G:$G,"&gt;="&amp;A35)</f>
        <v>28</v>
      </c>
      <c r="C35" s="63"/>
      <c r="D35" s="63">
        <f t="shared" si="0"/>
        <v>28</v>
      </c>
      <c r="E35" s="69"/>
    </row>
    <row r="36" spans="1:5" x14ac:dyDescent="0.3">
      <c r="A36" s="39">
        <f t="shared" si="1"/>
        <v>46314</v>
      </c>
      <c r="B36" s="21">
        <f>SUMIFS(Sheet1!$D:$D,Sheet1!$F:$F,"&lt;="&amp;A36,Sheet1!$G:$G,"&gt;="&amp;A36)</f>
        <v>24</v>
      </c>
      <c r="C36" s="63"/>
      <c r="D36" s="63">
        <f t="shared" si="0"/>
        <v>24</v>
      </c>
      <c r="E36" s="69"/>
    </row>
    <row r="37" spans="1:5" x14ac:dyDescent="0.3">
      <c r="A37" s="39">
        <f t="shared" si="1"/>
        <v>46315</v>
      </c>
      <c r="B37" s="21">
        <f>SUMIFS(Sheet1!$D:$D,Sheet1!$F:$F,"&lt;="&amp;A37,Sheet1!$G:$G,"&gt;="&amp;A37)</f>
        <v>24</v>
      </c>
      <c r="C37" s="63"/>
      <c r="D37" s="63">
        <f t="shared" si="0"/>
        <v>24</v>
      </c>
      <c r="E37" s="70"/>
    </row>
    <row r="38" spans="1:5" x14ac:dyDescent="0.3">
      <c r="A38" s="39">
        <f t="shared" si="1"/>
        <v>46316</v>
      </c>
      <c r="B38" s="21">
        <f>SUMIFS(Sheet1!$D:$D,Sheet1!$F:$F,"&lt;="&amp;A38,Sheet1!$G:$G,"&gt;="&amp;A38)</f>
        <v>24</v>
      </c>
      <c r="C38" s="63"/>
      <c r="D38" s="63">
        <f t="shared" si="0"/>
        <v>24</v>
      </c>
      <c r="E38" s="68" t="s">
        <v>100</v>
      </c>
    </row>
    <row r="39" spans="1:5" x14ac:dyDescent="0.3">
      <c r="A39" s="39">
        <f t="shared" si="1"/>
        <v>46317</v>
      </c>
      <c r="B39" s="21">
        <f>SUMIFS(Sheet1!$D:$D,Sheet1!$F:$F,"&lt;="&amp;A39,Sheet1!$G:$G,"&gt;="&amp;A39)</f>
        <v>24</v>
      </c>
      <c r="C39" s="63"/>
      <c r="D39" s="63">
        <f t="shared" si="0"/>
        <v>24</v>
      </c>
      <c r="E39" s="69"/>
    </row>
    <row r="40" spans="1:5" x14ac:dyDescent="0.3">
      <c r="A40" s="39">
        <f t="shared" si="1"/>
        <v>46318</v>
      </c>
      <c r="B40" s="21">
        <f>SUMIFS(Sheet1!$D:$D,Sheet1!$F:$F,"&lt;="&amp;A40,Sheet1!$G:$G,"&gt;="&amp;A40)</f>
        <v>24</v>
      </c>
      <c r="C40" s="63"/>
      <c r="D40" s="63">
        <f t="shared" si="0"/>
        <v>24</v>
      </c>
      <c r="E40" s="69"/>
    </row>
    <row r="41" spans="1:5" x14ac:dyDescent="0.3">
      <c r="A41" s="39">
        <f t="shared" si="1"/>
        <v>46321</v>
      </c>
      <c r="B41" s="21">
        <f>SUMIFS(Sheet1!$D:$D,Sheet1!$F:$F,"&lt;="&amp;A41,Sheet1!$G:$G,"&gt;="&amp;A41)</f>
        <v>24</v>
      </c>
      <c r="C41" s="63"/>
      <c r="D41" s="63">
        <f t="shared" si="0"/>
        <v>24</v>
      </c>
      <c r="E41" s="70"/>
    </row>
    <row r="42" spans="1:5" x14ac:dyDescent="0.3">
      <c r="A42" s="39">
        <f t="shared" si="1"/>
        <v>46322</v>
      </c>
      <c r="B42" s="21">
        <f>SUMIFS(Sheet1!$D:$D,Sheet1!$F:$F,"&lt;="&amp;A42,Sheet1!$G:$G,"&gt;="&amp;A42)</f>
        <v>24</v>
      </c>
      <c r="C42" s="63"/>
      <c r="D42" s="63">
        <f t="shared" si="0"/>
        <v>24</v>
      </c>
      <c r="E42" s="68" t="s">
        <v>101</v>
      </c>
    </row>
    <row r="43" spans="1:5" x14ac:dyDescent="0.3">
      <c r="A43" s="39">
        <f t="shared" si="1"/>
        <v>46323</v>
      </c>
      <c r="B43" s="21">
        <f>SUMIFS(Sheet1!$D:$D,Sheet1!$F:$F,"&lt;="&amp;A43,Sheet1!$G:$G,"&gt;="&amp;A43)</f>
        <v>24</v>
      </c>
      <c r="C43" s="63"/>
      <c r="D43" s="63">
        <f t="shared" si="0"/>
        <v>24</v>
      </c>
      <c r="E43" s="69"/>
    </row>
    <row r="44" spans="1:5" x14ac:dyDescent="0.3">
      <c r="A44" s="39">
        <f t="shared" si="1"/>
        <v>46324</v>
      </c>
      <c r="B44" s="21">
        <f>SUMIFS(Sheet1!$D:$D,Sheet1!$F:$F,"&lt;="&amp;A44,Sheet1!$G:$G,"&gt;="&amp;A44)</f>
        <v>24</v>
      </c>
      <c r="C44" s="63"/>
      <c r="D44" s="63">
        <f t="shared" si="0"/>
        <v>24</v>
      </c>
      <c r="E44" s="69"/>
    </row>
    <row r="45" spans="1:5" x14ac:dyDescent="0.3">
      <c r="A45" s="39">
        <f t="shared" si="1"/>
        <v>46325</v>
      </c>
      <c r="B45" s="21">
        <f>SUMIFS(Sheet1!$D:$D,Sheet1!$F:$F,"&lt;="&amp;A45,Sheet1!$G:$G,"&gt;="&amp;A45)</f>
        <v>24</v>
      </c>
      <c r="C45" s="63"/>
      <c r="D45" s="63">
        <f t="shared" si="0"/>
        <v>24</v>
      </c>
      <c r="E45" s="70"/>
    </row>
    <row r="46" spans="1:5" x14ac:dyDescent="0.3">
      <c r="A46" s="39">
        <f t="shared" si="1"/>
        <v>46328</v>
      </c>
      <c r="B46" s="21">
        <f>SUMIFS(Sheet1!$D:$D,Sheet1!$F:$F,"&lt;="&amp;A46,Sheet1!$G:$G,"&gt;="&amp;A46)</f>
        <v>24</v>
      </c>
      <c r="C46" s="63"/>
      <c r="D46" s="63">
        <f t="shared" si="0"/>
        <v>24</v>
      </c>
      <c r="E46" s="68" t="s">
        <v>102</v>
      </c>
    </row>
    <row r="47" spans="1:5" x14ac:dyDescent="0.3">
      <c r="A47" s="39">
        <f t="shared" si="1"/>
        <v>46329</v>
      </c>
      <c r="B47" s="21">
        <f>SUMIFS(Sheet1!$D:$D,Sheet1!$F:$F,"&lt;="&amp;A47,Sheet1!$G:$G,"&gt;="&amp;A47)</f>
        <v>24</v>
      </c>
      <c r="C47" s="63"/>
      <c r="D47" s="63">
        <f t="shared" si="0"/>
        <v>24</v>
      </c>
      <c r="E47" s="69"/>
    </row>
    <row r="48" spans="1:5" x14ac:dyDescent="0.3">
      <c r="A48" s="39">
        <f t="shared" si="1"/>
        <v>46330</v>
      </c>
      <c r="B48" s="21">
        <f>SUMIFS(Sheet1!$D:$D,Sheet1!$F:$F,"&lt;="&amp;A48,Sheet1!$G:$G,"&gt;="&amp;A48)</f>
        <v>24</v>
      </c>
      <c r="C48" s="63"/>
      <c r="D48" s="63">
        <f t="shared" si="0"/>
        <v>24</v>
      </c>
      <c r="E48" s="69"/>
    </row>
    <row r="49" spans="1:5" x14ac:dyDescent="0.3">
      <c r="A49" s="39">
        <f t="shared" si="1"/>
        <v>46331</v>
      </c>
      <c r="B49" s="21">
        <f>SUMIFS(Sheet1!$D:$D,Sheet1!$F:$F,"&lt;="&amp;A49,Sheet1!$G:$G,"&gt;="&amp;A49)</f>
        <v>24</v>
      </c>
      <c r="C49" s="63"/>
      <c r="D49" s="63">
        <f t="shared" si="0"/>
        <v>24</v>
      </c>
      <c r="E49" s="70"/>
    </row>
    <row r="50" spans="1:5" x14ac:dyDescent="0.3">
      <c r="A50" s="39">
        <f t="shared" si="1"/>
        <v>46332</v>
      </c>
      <c r="B50" s="21">
        <f>SUMIFS(Sheet1!$D:$D,Sheet1!$F:$F,"&lt;="&amp;A50,Sheet1!$G:$G,"&gt;="&amp;A50)</f>
        <v>24</v>
      </c>
      <c r="C50" s="63"/>
      <c r="D50" s="63">
        <f t="shared" si="0"/>
        <v>24</v>
      </c>
      <c r="E50" s="68" t="s">
        <v>103</v>
      </c>
    </row>
    <row r="51" spans="1:5" x14ac:dyDescent="0.3">
      <c r="A51" s="39">
        <f t="shared" si="1"/>
        <v>46335</v>
      </c>
      <c r="B51" s="21">
        <f>SUMIFS(Sheet1!$D:$D,Sheet1!$F:$F,"&lt;="&amp;A51,Sheet1!$G:$G,"&gt;="&amp;A51)</f>
        <v>24</v>
      </c>
      <c r="C51" s="63"/>
      <c r="D51" s="63">
        <f t="shared" si="0"/>
        <v>24</v>
      </c>
      <c r="E51" s="69"/>
    </row>
    <row r="52" spans="1:5" x14ac:dyDescent="0.3">
      <c r="A52" s="39">
        <f t="shared" si="1"/>
        <v>46336</v>
      </c>
      <c r="B52" s="21">
        <f>SUMIFS(Sheet1!$D:$D,Sheet1!$F:$F,"&lt;="&amp;A52,Sheet1!$G:$G,"&gt;="&amp;A52)</f>
        <v>24</v>
      </c>
      <c r="C52" s="63"/>
      <c r="D52" s="63">
        <f t="shared" si="0"/>
        <v>24</v>
      </c>
      <c r="E52" s="69"/>
    </row>
    <row r="53" spans="1:5" x14ac:dyDescent="0.3">
      <c r="A53" s="39">
        <f t="shared" si="1"/>
        <v>46337</v>
      </c>
      <c r="B53" s="21">
        <f>SUMIFS(Sheet1!$D:$D,Sheet1!$F:$F,"&lt;="&amp;A53,Sheet1!$G:$G,"&gt;="&amp;A53)</f>
        <v>24</v>
      </c>
      <c r="C53" s="63"/>
      <c r="D53" s="63">
        <f t="shared" si="0"/>
        <v>24</v>
      </c>
      <c r="E53" s="70"/>
    </row>
    <row r="54" spans="1:5" x14ac:dyDescent="0.3">
      <c r="A54" s="39">
        <f t="shared" si="1"/>
        <v>46338</v>
      </c>
      <c r="B54" s="21">
        <f>SUMIFS(Sheet1!$D:$D,Sheet1!$F:$F,"&lt;="&amp;A54,Sheet1!$G:$G,"&gt;="&amp;A54)</f>
        <v>12</v>
      </c>
      <c r="C54" s="63"/>
      <c r="D54" s="63">
        <f t="shared" si="0"/>
        <v>12</v>
      </c>
      <c r="E54" s="68" t="s">
        <v>104</v>
      </c>
    </row>
    <row r="55" spans="1:5" x14ac:dyDescent="0.3">
      <c r="A55" s="39">
        <f t="shared" si="1"/>
        <v>46339</v>
      </c>
      <c r="B55" s="21">
        <f>SUMIFS(Sheet1!$D:$D,Sheet1!$F:$F,"&lt;="&amp;A55,Sheet1!$G:$G,"&gt;="&amp;A55)</f>
        <v>12</v>
      </c>
      <c r="C55" s="63"/>
      <c r="D55" s="63">
        <f t="shared" si="0"/>
        <v>12</v>
      </c>
      <c r="E55" s="69"/>
    </row>
    <row r="56" spans="1:5" x14ac:dyDescent="0.3">
      <c r="A56" s="39">
        <f t="shared" si="1"/>
        <v>46342</v>
      </c>
      <c r="B56" s="21">
        <f>SUMIFS(Sheet1!$D:$D,Sheet1!$F:$F,"&lt;="&amp;A56,Sheet1!$G:$G,"&gt;="&amp;A56)</f>
        <v>12</v>
      </c>
      <c r="C56" s="63"/>
      <c r="D56" s="63">
        <f t="shared" si="0"/>
        <v>12</v>
      </c>
      <c r="E56" s="69"/>
    </row>
    <row r="57" spans="1:5" x14ac:dyDescent="0.3">
      <c r="A57" s="39">
        <f t="shared" si="1"/>
        <v>46343</v>
      </c>
      <c r="B57" s="21">
        <f>SUMIFS(Sheet1!$D:$D,Sheet1!$F:$F,"&lt;="&amp;A57,Sheet1!$G:$G,"&gt;="&amp;A57)</f>
        <v>12</v>
      </c>
      <c r="C57" s="63"/>
      <c r="D57" s="63">
        <f t="shared" si="0"/>
        <v>12</v>
      </c>
      <c r="E57" s="70"/>
    </row>
    <row r="58" spans="1:5" x14ac:dyDescent="0.3">
      <c r="A58" s="39">
        <f t="shared" si="1"/>
        <v>46344</v>
      </c>
      <c r="B58" s="21">
        <f>SUMIFS(Sheet1!$D:$D,Sheet1!$F:$F,"&lt;="&amp;A58,Sheet1!$G:$G,"&gt;="&amp;A58)</f>
        <v>12</v>
      </c>
      <c r="C58" s="63"/>
      <c r="D58" s="63">
        <f t="shared" si="0"/>
        <v>12</v>
      </c>
      <c r="E58" s="68" t="s">
        <v>105</v>
      </c>
    </row>
    <row r="59" spans="1:5" x14ac:dyDescent="0.3">
      <c r="A59" s="39">
        <f t="shared" si="1"/>
        <v>46345</v>
      </c>
      <c r="B59" s="21">
        <f>SUMIFS(Sheet1!$D:$D,Sheet1!$F:$F,"&lt;="&amp;A59,Sheet1!$G:$G,"&gt;="&amp;A59)</f>
        <v>12</v>
      </c>
      <c r="C59" s="63"/>
      <c r="D59" s="63">
        <f t="shared" si="0"/>
        <v>12</v>
      </c>
      <c r="E59" s="69"/>
    </row>
    <row r="60" spans="1:5" x14ac:dyDescent="0.3">
      <c r="A60" s="39">
        <f t="shared" si="1"/>
        <v>46346</v>
      </c>
      <c r="B60" s="21">
        <f>SUMIFS(Sheet1!$D:$D,Sheet1!$F:$F,"&lt;="&amp;A60,Sheet1!$G:$G,"&gt;="&amp;A60)</f>
        <v>12</v>
      </c>
      <c r="C60" s="63"/>
      <c r="D60" s="63">
        <f t="shared" si="0"/>
        <v>12</v>
      </c>
      <c r="E60" s="69"/>
    </row>
    <row r="61" spans="1:5" x14ac:dyDescent="0.3">
      <c r="A61" s="39">
        <f t="shared" si="1"/>
        <v>46349</v>
      </c>
      <c r="B61" s="21">
        <f>SUMIFS(Sheet1!$D:$D,Sheet1!$F:$F,"&lt;="&amp;A61,Sheet1!$G:$G,"&gt;="&amp;A61)</f>
        <v>0</v>
      </c>
      <c r="C61" s="63"/>
      <c r="D61" s="63">
        <f t="shared" si="0"/>
        <v>0</v>
      </c>
      <c r="E61" s="70"/>
    </row>
    <row r="62" spans="1:5" x14ac:dyDescent="0.3">
      <c r="E62"/>
    </row>
    <row r="63" spans="1:5" x14ac:dyDescent="0.3">
      <c r="E63"/>
    </row>
    <row r="64" spans="1:5" x14ac:dyDescent="0.3">
      <c r="E64"/>
    </row>
    <row r="65" spans="5:5" x14ac:dyDescent="0.3">
      <c r="E65"/>
    </row>
  </sheetData>
  <mergeCells count="15">
    <mergeCell ref="E2:E5"/>
    <mergeCell ref="E58:E61"/>
    <mergeCell ref="E6:E9"/>
    <mergeCell ref="E10:E13"/>
    <mergeCell ref="E14:E17"/>
    <mergeCell ref="E18:E21"/>
    <mergeCell ref="E22:E25"/>
    <mergeCell ref="E26:E29"/>
    <mergeCell ref="E30:E33"/>
    <mergeCell ref="E34:E37"/>
    <mergeCell ref="E38:E41"/>
    <mergeCell ref="E42:E45"/>
    <mergeCell ref="E46:E49"/>
    <mergeCell ref="E50:E53"/>
    <mergeCell ref="E54:E57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819DFA5CC34040BF4165F822459AD8" ma:contentTypeVersion="18" ma:contentTypeDescription="Create a new document." ma:contentTypeScope="" ma:versionID="09a818bdf1669bff237db41912cc1180">
  <xsd:schema xmlns:xsd="http://www.w3.org/2001/XMLSchema" xmlns:xs="http://www.w3.org/2001/XMLSchema" xmlns:p="http://schemas.microsoft.com/office/2006/metadata/properties" xmlns:ns2="b6360e71-a882-49de-9025-3b6399b6dfc6" xmlns:ns3="04228389-9e5b-4e17-945f-d1ffc1408375" targetNamespace="http://schemas.microsoft.com/office/2006/metadata/properties" ma:root="true" ma:fieldsID="9d8f90414ba504759d6a4d11f4f26721" ns2:_="" ns3:_="">
    <xsd:import namespace="b6360e71-a882-49de-9025-3b6399b6dfc6"/>
    <xsd:import namespace="04228389-9e5b-4e17-945f-d1ffc140837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360e71-a882-49de-9025-3b6399b6dfc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description="" ma:hidden="true" ma:list="{8d4aa96b-9053-47b4-89a1-61f5ad0898af}" ma:internalName="TaxCatchAll" ma:showField="CatchAllData" ma:web="b6360e71-a882-49de-9025-3b6399b6df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28389-9e5b-4e17-945f-d1ffc14083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04efa19-84f0-48fe-bad9-0e346ffc96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6360e71-a882-49de-9025-3b6399b6dfc6" xsi:nil="true"/>
    <lcf76f155ced4ddcb4097134ff3c332f xmlns="04228389-9e5b-4e17-945f-d1ffc14083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B98B4D-2305-4A8C-8DC0-80443EA3090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27A050-DBFF-4CBD-ACA5-E40602B6F0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360e71-a882-49de-9025-3b6399b6dfc6"/>
    <ds:schemaRef ds:uri="04228389-9e5b-4e17-945f-d1ffc14083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6333AD-C9AB-4682-916D-4EB88B94417B}">
  <ds:schemaRefs>
    <ds:schemaRef ds:uri="http://schemas.microsoft.com/office/2006/metadata/properties"/>
    <ds:schemaRef ds:uri="http://schemas.microsoft.com/office/infopath/2007/PartnerControls"/>
    <ds:schemaRef ds:uri="b6360e71-a882-49de-9025-3b6399b6dfc6"/>
    <ds:schemaRef ds:uri="04228389-9e5b-4e17-945f-d1ffc140837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Manloader</vt:lpstr>
      <vt:lpstr>finishdate</vt:lpstr>
      <vt:lpstr>Startdate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 Fox</dc:creator>
  <cp:keywords/>
  <dc:description/>
  <cp:lastModifiedBy>Anthony Murphy</cp:lastModifiedBy>
  <cp:revision/>
  <dcterms:created xsi:type="dcterms:W3CDTF">2026-03-26T06:12:27Z</dcterms:created>
  <dcterms:modified xsi:type="dcterms:W3CDTF">2026-09-15T06:30:25Z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0x01010046819DFA5CC34040BF4165F822459AD8</vt:lpwstr>
  </property>
  <property fmtid="{D5CDD505-2E9C-101B-9397-08002B2CF9AE}" pid="3" name="MediaServiceImageTags">
    <vt:lpwstr/>
  </property>
</Properties>
</file>